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1_company\产品研发\1_宣武POC产品\护理推送助手\产品规格\"/>
    </mc:Choice>
  </mc:AlternateContent>
  <xr:revisionPtr revIDLastSave="0" documentId="13_ncr:1_{A64D8755-C8D2-4AC3-B026-944ACE1EC68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使用说明" sheetId="1" r:id="rId1"/>
    <sheet name="功能勾选" sheetId="2" r:id="rId2"/>
    <sheet name="勾选汇总" sheetId="3" r:id="rId3"/>
  </sheets>
  <definedNames>
    <definedName name="_xlnm._FilterDatabase" localSheetId="1" hidden="1">功能勾选!$A$4:$J$104</definedName>
    <definedName name="_xlnm.Print_Area" localSheetId="1">功能勾选!$A$1:$J$104</definedName>
    <definedName name="_xlnm.Print_Area" localSheetId="2">勾选汇总!$B$2:$I$31</definedName>
    <definedName name="_xlnm.Print_Area" localSheetId="0">使用说明!$B$2:$G$18</definedName>
    <definedName name="_xlnm.Print_Titles" localSheetId="1">功能勾选!$1:$4</definedName>
  </definedNames>
  <calcPr calcId="191029"/>
</workbook>
</file>

<file path=xl/calcChain.xml><?xml version="1.0" encoding="utf-8"?>
<calcChain xmlns="http://schemas.openxmlformats.org/spreadsheetml/2006/main">
  <c r="C32" i="3" l="1"/>
  <c r="C31" i="3"/>
  <c r="F28" i="3"/>
  <c r="E28" i="3"/>
  <c r="D28" i="3"/>
  <c r="C28" i="3"/>
  <c r="F27" i="3"/>
  <c r="E27" i="3"/>
  <c r="D27" i="3"/>
  <c r="C27" i="3"/>
  <c r="F26" i="3"/>
  <c r="E26" i="3"/>
  <c r="D26" i="3"/>
  <c r="C26" i="3"/>
  <c r="F25" i="3"/>
  <c r="E25" i="3"/>
  <c r="D25" i="3"/>
  <c r="C25" i="3"/>
  <c r="F24" i="3"/>
  <c r="E24" i="3"/>
  <c r="D24" i="3"/>
  <c r="C24" i="3"/>
  <c r="F23" i="3"/>
  <c r="E23" i="3"/>
  <c r="D23" i="3"/>
  <c r="C23" i="3"/>
  <c r="F22" i="3"/>
  <c r="E22" i="3"/>
  <c r="D22" i="3"/>
  <c r="C22" i="3"/>
  <c r="F21" i="3"/>
  <c r="E21" i="3"/>
  <c r="D21" i="3"/>
  <c r="C21" i="3"/>
  <c r="F20" i="3"/>
  <c r="E20" i="3"/>
  <c r="D20" i="3"/>
  <c r="C20" i="3"/>
  <c r="F19" i="3"/>
  <c r="E19" i="3"/>
  <c r="D19" i="3"/>
  <c r="C19" i="3"/>
  <c r="F18" i="3"/>
  <c r="E18" i="3"/>
  <c r="D18" i="3"/>
  <c r="C18" i="3"/>
  <c r="F17" i="3"/>
  <c r="E17" i="3"/>
  <c r="D17" i="3"/>
  <c r="C17" i="3"/>
  <c r="I16" i="3"/>
  <c r="F16" i="3"/>
  <c r="E16" i="3"/>
  <c r="D16" i="3"/>
  <c r="C16" i="3"/>
  <c r="I15" i="3"/>
  <c r="F15" i="3"/>
  <c r="E15" i="3"/>
  <c r="D15" i="3"/>
  <c r="C15" i="3"/>
  <c r="I14" i="3"/>
  <c r="F14" i="3"/>
  <c r="E14" i="3"/>
  <c r="D14" i="3"/>
  <c r="C14" i="3"/>
  <c r="I13" i="3"/>
  <c r="F13" i="3"/>
  <c r="E13" i="3"/>
  <c r="D13" i="3"/>
  <c r="C13" i="3"/>
  <c r="I12" i="3"/>
  <c r="F12" i="3"/>
  <c r="E12" i="3"/>
  <c r="D12" i="3"/>
  <c r="C12" i="3"/>
  <c r="I11" i="3"/>
  <c r="F11" i="3"/>
  <c r="E11" i="3"/>
  <c r="D11" i="3"/>
  <c r="C11" i="3"/>
  <c r="D7" i="3"/>
  <c r="C7" i="3"/>
  <c r="B7" i="3"/>
  <c r="F5" i="3"/>
  <c r="E5" i="3"/>
  <c r="D5" i="3"/>
  <c r="C5" i="3"/>
  <c r="B5" i="3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护理推送助手</author>
  </authors>
  <commentList>
    <comment ref="A4" authorId="0" shapeId="0" xr:uid="{00000000-0006-0000-0100-000001000000}">
      <text>
        <r>
          <rPr>
            <sz val="11"/>
            <color rgb="FF000000"/>
            <rFont val="宋体"/>
            <charset val="134"/>
            <scheme val="minor"/>
          </rPr>
          <t>请下拉选择：纳入 / 延期 / 不做。此列为唯一需要填写的列。</t>
        </r>
      </text>
    </comment>
    <comment ref="G4" authorId="0" shapeId="0" xr:uid="{00000000-0006-0000-0100-000002000000}">
      <text>
        <r>
          <rPr>
            <sz val="11"/>
            <color rgb="FF000000"/>
            <rFont val="宋体"/>
            <charset val="134"/>
            <scheme val="minor"/>
          </rPr>
          <t>目录建议，请勿修改。可复制本列覆盖「勾选」以恢复默认。</t>
        </r>
      </text>
    </comment>
    <comment ref="H4" authorId="0" shapeId="0" xr:uid="{00000000-0006-0000-0100-000003000000}">
      <text>
        <r>
          <rPr>
            <sz val="11"/>
            <color rgb="FF000000"/>
            <rFont val="宋体"/>
            <charset val="134"/>
            <scheme val="minor"/>
          </rPr>
          <t>勾选与建议勾选不一致时显示「已改」。</t>
        </r>
      </text>
    </comment>
  </commentList>
</comments>
</file>

<file path=xl/sharedStrings.xml><?xml version="1.0" encoding="utf-8"?>
<sst xmlns="http://schemas.openxmlformats.org/spreadsheetml/2006/main" count="902" uniqueCount="417">
  <si>
    <t>护理推送平台 · 功能勾选表</t>
  </si>
  <si>
    <t>先 SaaS 上线测试，后做小程序。请只改「功能勾选」表中的黄色「勾选」列，汇总会自动重算。</t>
  </si>
  <si>
    <t>怎么勾</t>
  </si>
  <si>
    <t>1</t>
  </si>
  <si>
    <t>打开「功能勾选」工作表</t>
  </si>
  <si>
    <t>每条功能一行。黄色「勾选」列已按建议测试包预填，可直接改。</t>
  </si>
  <si>
    <t>2</t>
  </si>
  <si>
    <t>用下拉选择，不要手打</t>
  </si>
  <si>
    <t>只能选：纳入 / 延期 / 不做。点单元格右侧箭头。</t>
  </si>
  <si>
    <t>3</t>
  </si>
  <si>
    <t>三种选项的含义</t>
  </si>
  <si>
    <t>纳入 = 进入本期 SaaS 测试开发；延期 = 小程序或二期再做；不做 = 明确砍掉。</t>
  </si>
  <si>
    <t>4</t>
  </si>
  <si>
    <t>对照「建议勾选」</t>
  </si>
  <si>
    <t>灰色列是目录建议，不要改。若你改了黄色列，「是否改建议」会显示「已改」。</t>
  </si>
  <si>
    <t>5</t>
  </si>
  <si>
    <t>看「勾选汇总」</t>
  </si>
  <si>
    <t>纳入/延期/不做的条数和按模块拆分会随你的勾选变化。把本文件发回即可。</t>
  </si>
  <si>
    <t>6</t>
  </si>
  <si>
    <t>恢复默认建议</t>
  </si>
  <si>
    <t>若改乱：把「建议勾选」整列复制，选择性粘贴到「勾选」列（只粘贴值）。</t>
  </si>
  <si>
    <t>颜色</t>
  </si>
  <si>
    <t>纳入</t>
  </si>
  <si>
    <t>延期</t>
  </si>
  <si>
    <t>不做</t>
  </si>
  <si>
    <t>黄色单元格 = 请你改</t>
  </si>
  <si>
    <t>建议测试包（预填为「纳入」）能演示：护士长建路径 → 责任护士套到床位 → 患者扫床头码或打开 H5 → 未读进入护士待办 → 护理部看覆盖率。直播、患友会、培训考试、HIS、服务号、秀米、签字板、AI 问答默认不是「纳入」。</t>
  </si>
  <si>
    <t>护理推送平台功能目录（请在黄色「勾选」列下拉选择）</t>
  </si>
  <si>
    <t>勾选只能是：纳入（本期 SaaS 做） / 延期（小程序或二期） / 不做（砍掉）。灰色「建议勾选」是目录建议，已复制到黄色列作为起点。筛选可按模块、建议标签过滤。</t>
  </si>
  <si>
    <t>勾选</t>
  </si>
  <si>
    <t>编号</t>
  </si>
  <si>
    <t>模块</t>
  </si>
  <si>
    <t>功能</t>
  </si>
  <si>
    <t>说明</t>
  </si>
  <si>
    <t>建议标签</t>
  </si>
  <si>
    <t>建议勾选</t>
  </si>
  <si>
    <t>是否改建议</t>
  </si>
  <si>
    <t>主要角色</t>
  </si>
  <si>
    <t>备注</t>
  </si>
  <si>
    <t>01.1</t>
  </si>
  <si>
    <t>01 组织账号与权限</t>
  </si>
  <si>
    <t>医院 / 院区 / 科室 / 病区树</t>
  </si>
  <si>
    <t>多租户隔离；宣武可先单院单科，模型不能写死成一个科室。</t>
  </si>
  <si>
    <t>SaaS-P0</t>
  </si>
  <si>
    <t>护理部</t>
  </si>
  <si>
    <t>01.2</t>
  </si>
  <si>
    <t>角色：护理部、护士长、责任护士、只读质控</t>
  </si>
  <si>
    <t>责任护士默认只看自己的床，这是和全科医护工具的分界。</t>
  </si>
  <si>
    <t>护理部、护士长</t>
  </si>
  <si>
    <t>01.3</t>
  </si>
  <si>
    <t>手机号 + 密码 / 验证码登录</t>
  </si>
  <si>
    <t>SaaS 测试入口。微信登录请另见本行备注，属小程序期。</t>
  </si>
  <si>
    <t>全部医护</t>
  </si>
  <si>
    <t>微信登录标为 MP-P0，请用「延期」表达小程序再做，或另开一行备注。</t>
  </si>
  <si>
    <t>01.4</t>
  </si>
  <si>
    <t>科室二维码邀请医护加入</t>
  </si>
  <si>
    <t>扫码注册加入科室团队。</t>
  </si>
  <si>
    <t>SaaS-P1 / MP-P0</t>
  </si>
  <si>
    <t>护士长</t>
  </si>
  <si>
    <t>小程序期几乎必做。</t>
  </si>
  <si>
    <t>01.5</t>
  </si>
  <si>
    <t>护士层级（N0–N5 等）</t>
  </si>
  <si>
    <t>仅当要做培训考试时需要。</t>
  </si>
  <si>
    <t>后置</t>
  </si>
  <si>
    <t>不要为推送 MVP 建层级。</t>
  </si>
  <si>
    <t>01.6</t>
  </si>
  <si>
    <t>多医院切换（SaaS 运营后台）</t>
  </si>
  <si>
    <t>运营侧切换租户/医院。</t>
  </si>
  <si>
    <t>SaaS-P1</t>
  </si>
  <si>
    <t>系统管理员</t>
  </si>
  <si>
    <t>仅当要多院试点再纳入。</t>
  </si>
  <si>
    <t>02.1</t>
  </si>
  <si>
    <t>02 患者、床位、入组</t>
  </si>
  <si>
    <t>床位图 / 床卡列表（病房样式）</t>
  </si>
  <si>
    <t>护士站主界面。</t>
  </si>
  <si>
    <t>护士长、责任护士</t>
  </si>
  <si>
    <t>02.2</t>
  </si>
  <si>
    <t>非病房名单（门诊、日间、检查、手术室）</t>
  </si>
  <si>
    <t>扫码患者列表，非床位宫格。</t>
  </si>
  <si>
    <t>试点含门诊再纳入。</t>
  </si>
  <si>
    <t>02.3</t>
  </si>
  <si>
    <t>患者档案：姓名、床号、入科时间、诊断/病种标签、联系人</t>
  </si>
  <si>
    <t>推送对象主数据。测试期可手建或 Excel 导入。</t>
  </si>
  <si>
    <t>责任护士</t>
  </si>
  <si>
    <t>不必先接 HIS。</t>
  </si>
  <si>
    <t>02.4</t>
  </si>
  <si>
    <t>责任床位分配（护士长分床 / 护士领床）</t>
  </si>
  <si>
    <t>没有分床就没有「我的患者」。</t>
  </si>
  <si>
    <t>02.5</t>
  </si>
  <si>
    <t>供精准群发和智能计划圈人。</t>
  </si>
  <si>
    <t>02.6</t>
  </si>
  <si>
    <t>床头宣教码、一床一码、扫码入科</t>
  </si>
  <si>
    <t>测试期患者主入口。</t>
  </si>
  <si>
    <t>责任护士、患者</t>
  </si>
  <si>
    <t>02.7</t>
  </si>
  <si>
    <t>扫码人数上限（患者+家属）</t>
  </si>
  <si>
    <t>如填 2，床上已有 2 人则须先移出院。</t>
  </si>
  <si>
    <t>02.8</t>
  </si>
  <si>
    <t>扫码后必填表单才进宣教中心</t>
  </si>
  <si>
    <t>开启后扫码必须填指定信息项。</t>
  </si>
  <si>
    <t>护士长、患者</t>
  </si>
  <si>
    <t>02.9</t>
  </si>
  <si>
    <t>转床、出院、自动出院（按扫码日或入院日）</t>
  </si>
  <si>
    <t>任务和床位必须能结束。默认可按住院天数自动出院。</t>
  </si>
  <si>
    <t>02.10</t>
  </si>
  <si>
    <t>主联系人 / 家属单独策略</t>
  </si>
  <si>
    <t>例如家属单独收一份出院指导。</t>
  </si>
  <si>
    <t>责任护士、家属</t>
  </si>
  <si>
    <t>02.11</t>
  </si>
  <si>
    <t>HIS 同步患者、入出院、诊断</t>
  </si>
  <si>
    <t>材料写明定制开发。</t>
  </si>
  <si>
    <t>测试用导入/手建。</t>
  </si>
  <si>
    <t>03.1</t>
  </si>
  <si>
    <t>03 内容知识库</t>
  </si>
  <si>
    <t>文章：标题、封面、正文、图文/音频/视频</t>
  </si>
  <si>
    <t>首期富文本即可，视频可外链或上传。</t>
  </si>
  <si>
    <t>护士长、责任护士、内容运营</t>
  </si>
  <si>
    <t>不做秀米。</t>
  </si>
  <si>
    <t>03.2</t>
  </si>
  <si>
    <t>科室分类树：入院、出院、检查、手术、疾病、护理、饮食、用药、康复</t>
  </si>
  <si>
    <t>对应宣教中心菜单。</t>
  </si>
  <si>
    <t>03.3</t>
  </si>
  <si>
    <t>疾病标签、关键词</t>
  </si>
  <si>
    <t>便于检索和按病种匹配。</t>
  </si>
  <si>
    <t>内容运营</t>
  </si>
  <si>
    <t>03.4</t>
  </si>
  <si>
    <t>院内共享 / 仅本科室</t>
  </si>
  <si>
    <t>文章发布范围。</t>
  </si>
  <si>
    <t>护士长、护理部</t>
  </si>
  <si>
    <t>03.5</t>
  </si>
  <si>
    <t>文章绑定问卷（读完即测）</t>
  </si>
  <si>
    <t>阅读完成后弹出关联问卷。</t>
  </si>
  <si>
    <t>03.6</t>
  </si>
  <si>
    <t>公共内容库 / 引用发布</t>
  </si>
  <si>
    <t>引用院内或其他来源后发布到本科。</t>
  </si>
  <si>
    <t>03.7</t>
  </si>
  <si>
    <t>秀米类可视化排版</t>
  </si>
  <si>
    <t>首期 Markdown/富文本足够。</t>
  </si>
  <si>
    <t>慎选</t>
  </si>
  <si>
    <t>运营很重。</t>
  </si>
  <si>
    <t>03.8</t>
  </si>
  <si>
    <t>变更记录、预览、导出 PDF</t>
  </si>
  <si>
    <t>内容留痕与线下打印。</t>
  </si>
  <si>
    <t>03.9</t>
  </si>
  <si>
    <t>供应商代运营知识库工作台</t>
  </si>
  <si>
    <t>商务服务，不是开发核心。</t>
  </si>
  <si>
    <t>04.1</t>
  </si>
  <si>
    <t>04 宣教路径模板</t>
  </si>
  <si>
    <t>路径模板：入院第0/1天、术前1天、术后1天、出院当天、出院后第N天</t>
  </si>
  <si>
    <t>产品主轴，替代每人手配智能推送。</t>
  </si>
  <si>
    <t>04.2</t>
  </si>
  <si>
    <t>病种路径：脑梗死、帕金森、导管维护、2型糖尿病等</t>
  </si>
  <si>
    <t>对照材料 HIS 计划样例。</t>
  </si>
  <si>
    <t>按试点科室加。</t>
  </si>
  <si>
    <t>04.3</t>
  </si>
  <si>
    <t>路径内条目：文章 / 问卷 / 通知 / 需当面补讲勾选</t>
  </si>
  <si>
    <t>一条路径里混合内容类型。</t>
  </si>
  <si>
    <t>04.4</t>
  </si>
  <si>
    <t>护士长启用路径、责任护士一键套到患者</t>
  </si>
  <si>
    <t>从模板变成该患者的任务。</t>
  </si>
  <si>
    <t>04.5</t>
  </si>
  <si>
    <t>路径版本与审核（内容上线需护士长过）</t>
  </si>
  <si>
    <t>模板变更走审核。</t>
  </si>
  <si>
    <t>04.6</t>
  </si>
  <si>
    <t>未读自动进入「需当面补讲」任务</t>
  </si>
  <si>
    <t>弥补推了但没看的护理风险。</t>
  </si>
  <si>
    <t>05.1</t>
  </si>
  <si>
    <t>05 手动推送 / 群发</t>
  </si>
  <si>
    <t>选内容 → 筛患者 → 立即发送</t>
  </si>
  <si>
    <t>可发文章、问卷、通知。</t>
  </si>
  <si>
    <t>05.2</t>
  </si>
  <si>
    <t>定时发送、失败/未读重发</t>
  </si>
  <si>
    <t>夜班或次日补推。</t>
  </si>
  <si>
    <t>05.3</t>
  </si>
  <si>
    <t>通知类型：图文、纯文本、语音、视频</t>
  </si>
  <si>
    <t>语音可再后置。</t>
  </si>
  <si>
    <t>05.4</t>
  </si>
  <si>
    <t>发送人、时间、已读/应发人数留痕</t>
  </si>
  <si>
    <t>质控最小集。</t>
  </si>
  <si>
    <t>05.5</t>
  </si>
  <si>
    <t>仅推责任床（默认）vs 推全科</t>
  </si>
  <si>
    <t>防误推。</t>
  </si>
  <si>
    <t>责任护士、护士长</t>
  </si>
  <si>
    <t>05.6</t>
  </si>
  <si>
    <t>群发前护士长确认（可关）</t>
  </si>
  <si>
    <t>全科群发增加确认闸门。</t>
  </si>
  <si>
    <t>06.1</t>
  </si>
  <si>
    <t>06 智能 / 计划推送</t>
  </si>
  <si>
    <t>计划：名称、人群、相对时间点、内容、启用/停用</t>
  </si>
  <si>
    <t>一次设定，长期有效。</t>
  </si>
  <si>
    <t>06.2</t>
  </si>
  <si>
    <t>锚点：首次扫码、入院日、手术日、出院日</t>
  </si>
  <si>
    <t>无 HIS 时手术日由护士手填。</t>
  </si>
  <si>
    <t>06.3</t>
  </si>
  <si>
    <t>已读/未读分支（未读则次日补推）</t>
  </si>
  <si>
    <t>按阅读结果分叉。</t>
  </si>
  <si>
    <t>06.4</t>
  </si>
  <si>
    <t>孕周、日间手术换药等专科锚点</t>
  </si>
  <si>
    <t>06.5</t>
  </si>
  <si>
    <t>HIS 事件：入院、出院、手术、检查、取药 + 诊断全自动</t>
  </si>
  <si>
    <t>07.1</t>
  </si>
  <si>
    <t>07 触达渠道</t>
  </si>
  <si>
    <t>患者 H5 宣教中心（短链 + 二维码）</t>
  </si>
  <si>
    <t>测试期主渠道，不依赖微信审核。</t>
  </si>
  <si>
    <t>患者</t>
  </si>
  <si>
    <t>07.2</t>
  </si>
  <si>
    <t>短信提醒（链到 H5）</t>
  </si>
  <si>
    <t>不扫微信的患者兜底。</t>
  </si>
  <si>
    <t>07.3</t>
  </si>
  <si>
    <t>微信小程序患者端</t>
  </si>
  <si>
    <t>小程序期患者主入口。</t>
  </si>
  <si>
    <t>MP-P0</t>
  </si>
  <si>
    <t>07.4</t>
  </si>
  <si>
    <t>微信订阅消息 / 服务通知</t>
  </si>
  <si>
    <t>咨询、未读催办等提醒。</t>
  </si>
  <si>
    <t>患者、责任护士</t>
  </si>
  <si>
    <t>07.5</t>
  </si>
  <si>
    <t>医院微信服务号 H5 + 模板消息</t>
  </si>
  <si>
    <t>要对接服务号，IT 周期长。</t>
  </si>
  <si>
    <t>07.6</t>
  </si>
  <si>
    <t>床旁屏 / 电子宣教码</t>
  </si>
  <si>
    <t>嵌入病房屏。</t>
  </si>
  <si>
    <t>07.7</t>
  </si>
  <si>
    <t>互联网医院入口</t>
  </si>
  <si>
    <t>健康教育入口嵌入互联网医院。</t>
  </si>
  <si>
    <t>07.8</t>
  </si>
  <si>
    <t>APP 推送、邮件</t>
  </si>
  <si>
    <t>国内住院场景弱。</t>
  </si>
  <si>
    <t>08.1</t>
  </si>
  <si>
    <t>08 阅读闭环与护理任务</t>
  </si>
  <si>
    <t>阅读分析：是否打开、停留时长、有效阅读阈值</t>
  </si>
  <si>
    <t>成果数据。</t>
  </si>
  <si>
    <t>08.2</t>
  </si>
  <si>
    <t>单患者阅读详情</t>
  </si>
  <si>
    <t>护士点床卡/头像即看。</t>
  </si>
  <si>
    <t>08.3</t>
  </si>
  <si>
    <t>今日待推 / 已推未读 / 需当面补讲</t>
  </si>
  <si>
    <t>HEALS 缺口：任务列表。</t>
  </si>
  <si>
    <t>08.4</t>
  </si>
  <si>
    <t>任务签收、完成、转交下一班</t>
  </si>
  <si>
    <t>更适合做到小程序。</t>
  </si>
  <si>
    <t>08.5</t>
  </si>
  <si>
    <t>未读催办（护士一键或到期自动）</t>
  </si>
  <si>
    <t>对未读患者再触达。</t>
  </si>
  <si>
    <t>08.6</t>
  </si>
  <si>
    <t>知情同意 / 宣教告知签字（本人/家属代签、拒绝）</t>
  </si>
  <si>
    <t>法律留痕。首期也可用「已读即告知」口径，产品预留签字。</t>
  </si>
  <si>
    <t>患者、家属、责任护士</t>
  </si>
  <si>
    <t>16.3 授权文案是更轻的替代。</t>
  </si>
  <si>
    <t>08.7</t>
  </si>
  <si>
    <t>班次交接清单：本班未完成宣教</t>
  </si>
  <si>
    <t>交班用。</t>
  </si>
  <si>
    <t>09.1</t>
  </si>
  <si>
    <t>09 问卷</t>
  </si>
  <si>
    <t>问卷编辑：单选/多选/填空</t>
  </si>
  <si>
    <t>随访、满意度、知晓率的容器。</t>
  </si>
  <si>
    <t>09.2</t>
  </si>
  <si>
    <t>随路径或群发推送问卷</t>
  </si>
  <si>
    <t>和内容同一套发送。</t>
  </si>
  <si>
    <t>09.3</t>
  </si>
  <si>
    <t>回收明细、导出 Excel</t>
  </si>
  <si>
    <t>护理部要带走数据。</t>
  </si>
  <si>
    <t>护士长、护理部、只读质控</t>
  </si>
  <si>
    <t>09.4</t>
  </si>
  <si>
    <t>评分与等级（SAS、知晓率优良）</t>
  </si>
  <si>
    <t>填完出结果。</t>
  </si>
  <si>
    <t>09.5</t>
  </si>
  <si>
    <t>护理工作满意度表（入院介绍、环境、沟通等）</t>
  </si>
  <si>
    <t>护理部考核常用。</t>
  </si>
  <si>
    <t>护理部、患者</t>
  </si>
  <si>
    <t>09.6</t>
  </si>
  <si>
    <t>选项配图（尿比色等）</t>
  </si>
  <si>
    <t>选项带示例图。</t>
  </si>
  <si>
    <t>09.7</t>
  </si>
  <si>
    <t>电话随访工单、失访名单</t>
  </si>
  <si>
    <t>超出「推送」，但是护理随访真实痛点。</t>
  </si>
  <si>
    <t>10.1</t>
  </si>
  <si>
    <t>10 咨询与消息</t>
  </si>
  <si>
    <t>患者向科室发咨询、护士红点回复</t>
  </si>
  <si>
    <t>SaaS 可后做；小程序期几乎必做。</t>
  </si>
  <si>
    <t>值班压力需评估。</t>
  </si>
  <si>
    <t>10.2</t>
  </si>
  <si>
    <t>常用语 / 图片 / 短语音模板</t>
  </si>
  <si>
    <t>加速回复。</t>
  </si>
  <si>
    <t>10.3</t>
  </si>
  <si>
    <t>「猜你想问」自动回复 FAQ</t>
  </si>
  <si>
    <t>预设问答。</t>
  </si>
  <si>
    <t>10.4</t>
  </si>
  <si>
    <t>咨询指定负责人 + 微信通知</t>
  </si>
  <si>
    <t>微信内收服务通知并回复。</t>
  </si>
  <si>
    <t>MP-P1</t>
  </si>
  <si>
    <t>10.5</t>
  </si>
  <si>
    <t>科室服务电话按钮</t>
  </si>
  <si>
    <t>患者端一键拨打。</t>
  </si>
  <si>
    <t>设置里可先留热线字段。</t>
  </si>
  <si>
    <t>10.6</t>
  </si>
  <si>
    <t>一对一私信（非咨询工单）</t>
  </si>
  <si>
    <t>与咨询重复。</t>
  </si>
  <si>
    <t>11.1</t>
  </si>
  <si>
    <t>11 患者端宣教中心</t>
  </si>
  <si>
    <t>按分类浏览本科室内容（平铺或宫格）</t>
  </si>
  <si>
    <t>SaaS 用 H5，小程序复用。</t>
  </si>
  <si>
    <t>SaaS-P0 / MP-P0</t>
  </si>
  <si>
    <t>11.2</t>
  </si>
  <si>
    <t>我的消息 / 待学习 / 已完成</t>
  </si>
  <si>
    <t>患者端任务感。</t>
  </si>
  <si>
    <t>11.3</t>
  </si>
  <si>
    <t>专病专区自定义菜单</t>
  </si>
  <si>
    <t>科室自定义专病入口。</t>
  </si>
  <si>
    <t>11.4</t>
  </si>
  <si>
    <t>跨科室文章入口</t>
  </si>
  <si>
    <t>看其他科室内容。</t>
  </si>
  <si>
    <t>11.5</t>
  </si>
  <si>
    <t>门诊「行走的宣教码 / 宣教卡」</t>
  </si>
  <si>
    <t>12.1</t>
  </si>
  <si>
    <t>12 护理质控与成果</t>
  </si>
  <si>
    <t>科室看板：今日新增、今日阅读、未读人数</t>
  </si>
  <si>
    <t>护士长早交班。</t>
  </si>
  <si>
    <t>12.2</t>
  </si>
  <si>
    <t>成员数据：按责任护士看覆盖率、推送次数、未读</t>
  </si>
  <si>
    <t>绩效考核口径。</t>
  </si>
  <si>
    <t>12.3</t>
  </si>
  <si>
    <t>护理部全院/科室对比、时间筛选、导出</t>
  </si>
  <si>
    <t>「有成果」给管理者。</t>
  </si>
  <si>
    <t>护理部、只读质控</t>
  </si>
  <si>
    <t>12.4</t>
  </si>
  <si>
    <t>路径完成率（入院包是否在 24h 内完成）</t>
  </si>
  <si>
    <t>比单纯阅读率更护理。</t>
  </si>
  <si>
    <t>12.5</t>
  </si>
  <si>
    <t>月报模板（覆盖、未读、满意度、知晓率）</t>
  </si>
  <si>
    <t>替代人工助理月报。</t>
  </si>
  <si>
    <t>12.6</t>
  </si>
  <si>
    <t>数据大屏</t>
  </si>
  <si>
    <t>病区或护理部展示屏。</t>
  </si>
  <si>
    <t>13.1</t>
  </si>
  <si>
    <t>13 团队、通知、反馈</t>
  </si>
  <si>
    <t>系统通知（功能更新、待办汇总）</t>
  </si>
  <si>
    <t>医护站内信。</t>
  </si>
  <si>
    <t>13.2</t>
  </si>
  <si>
    <t>意见反馈</t>
  </si>
  <si>
    <t>向平台留言。</t>
  </si>
  <si>
    <t>13.3</t>
  </si>
  <si>
    <t>宣教设置：咨询开关、自动出院天数、表单、热线</t>
  </si>
  <si>
    <t>科室可调。咨询开关可先占位关闭。</t>
  </si>
  <si>
    <t>咨询模块本身见 10.x。</t>
  </si>
  <si>
    <t>14.1</t>
  </si>
  <si>
    <t>14 患友会 / 直播 / 讲堂</t>
  </si>
  <si>
    <t>患友会群聊、@、禁言、群内发文章</t>
  </si>
  <si>
    <t>合规与值班压力大。</t>
  </si>
  <si>
    <t>后置 / 慎选</t>
  </si>
  <si>
    <t>偏离护理推送主路径。</t>
  </si>
  <si>
    <t>14.2</t>
  </si>
  <si>
    <t>科普直播、海报、留言</t>
  </si>
  <si>
    <t>开播与数据。</t>
  </si>
  <si>
    <t>14.3</t>
  </si>
  <si>
    <t>医护讲堂公益课</t>
  </si>
  <si>
    <t>面向医护本人，不是患者宣教。</t>
  </si>
  <si>
    <t>15.1</t>
  </si>
  <si>
    <t>15 医护培训与考试</t>
  </si>
  <si>
    <t>科室/医院培训课件、学习记录</t>
  </si>
  <si>
    <t>护理部有需求，但不是推送助手主路径。</t>
  </si>
  <si>
    <t>护理部、全部医护</t>
  </si>
  <si>
    <t>点名再单独立项。</t>
  </si>
  <si>
    <t>15.2</t>
  </si>
  <si>
    <t>分层考试、成绩汇总</t>
  </si>
  <si>
    <t>三基/健康教育技能等。</t>
  </si>
  <si>
    <t>16.1</t>
  </si>
  <si>
    <t>16 集成与安全</t>
  </si>
  <si>
    <t>操作审计：谁对哪位患者推了什么</t>
  </si>
  <si>
    <t>信息科/纠纷留痕。</t>
  </si>
  <si>
    <t>16.2</t>
  </si>
  <si>
    <t>患者信息脱敏展示、导出权限</t>
  </si>
  <si>
    <t>SaaS 出域最小保护。</t>
  </si>
  <si>
    <t>护理部、系统管理员</t>
  </si>
  <si>
    <t>16.3</t>
  </si>
  <si>
    <t>知情授权文案（扫码即同意接收宣教）</t>
  </si>
  <si>
    <t>材料未写，医院信息科通常会问。</t>
  </si>
  <si>
    <t>比 08.6 签字更轻。</t>
  </si>
  <si>
    <t>16.4</t>
  </si>
  <si>
    <t>租户数据隔离</t>
  </si>
  <si>
    <t>SaaS 底线。</t>
  </si>
  <si>
    <t>16.5</t>
  </si>
  <si>
    <t>等保 / 院内部署选项</t>
  </si>
  <si>
    <t>POC 前要能回答数据是否出域，不必先做部署形态。</t>
  </si>
  <si>
    <t>16.6</t>
  </si>
  <si>
    <t>HIS、微信服务号、床旁屏、互联网医院对接</t>
  </si>
  <si>
    <t>集成包，周期长。</t>
  </si>
  <si>
    <t>17.1</t>
  </si>
  <si>
    <t>17 AI 增强</t>
  </si>
  <si>
    <t>按诊断/医嘱推荐宣教包</t>
  </si>
  <si>
    <t>不要当第一期承诺。</t>
  </si>
  <si>
    <t>17.2</t>
  </si>
  <si>
    <t>根据未读章节生成「床旁补讲要点」给护士</t>
  </si>
  <si>
    <t>若要在测试期体现 AI 再纳入。</t>
  </si>
  <si>
    <t>17.3</t>
  </si>
  <si>
    <t>自动写出院指导初稿、护士确认后推送</t>
  </si>
  <si>
    <t>需护士确认。</t>
  </si>
  <si>
    <t>17.4</t>
  </si>
  <si>
    <t>咨询问答机器人</t>
  </si>
  <si>
    <t>医疗责任边界不清。</t>
  </si>
  <si>
    <t>勾选汇总（改「功能勾选」黄色列后，这里会跟着变）</t>
  </si>
  <si>
    <t>未勾选</t>
  </si>
  <si>
    <t>功能总数</t>
  </si>
  <si>
    <t>已改建议</t>
  </si>
  <si>
    <t>与建议一致</t>
  </si>
  <si>
    <t>纳入占总数</t>
  </si>
  <si>
    <t>按模块</t>
  </si>
  <si>
    <t>按建议标签（看你勾成纳入的分布）</t>
  </si>
  <si>
    <t>小计</t>
  </si>
  <si>
    <t>建议标签含</t>
  </si>
  <si>
    <t>你勾选为纳入</t>
  </si>
  <si>
    <t>把本文件填完后发回即可。黄色列改完，「纳入」清单就是下一期开发范围。若某条建议标签含多项（如 SaaS-P1 / MP-P0），右侧统计可能重复计数，仅作参考；以「按模块」和顶部四格为准。</t>
  </si>
  <si>
    <t>合计</t>
  </si>
  <si>
    <t>校验</t>
  </si>
  <si>
    <t>模块小计是否等于功能总数</t>
  </si>
  <si>
    <t>纳入+延期+不做+未勾选 是否等于总数</t>
  </si>
  <si>
    <t>标记组（病种、手术、高危跌倒、糖尿病饮食等）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</si>
</sst>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%"/>
  </numFmts>
  <fonts count="17">
    <font>
      <sz val="11"/>
      <color theme="1"/>
      <name val="宋体"/>
      <charset val="134"/>
      <scheme val="minor"/>
    </font>
    <font>
      <b/>
      <sz val="18"/>
      <color rgb="FFFFFFFF"/>
      <name val="Microsoft YaHei"/>
      <charset val="134"/>
    </font>
    <font>
      <b/>
      <sz val="11"/>
      <color rgb="FFFFFFFF"/>
      <name val="Microsoft YaHei"/>
      <charset val="134"/>
    </font>
    <font>
      <b/>
      <sz val="20"/>
      <color rgb="FF1F4E79"/>
      <name val="Microsoft YaHei"/>
      <charset val="134"/>
    </font>
    <font>
      <b/>
      <sz val="14"/>
      <color rgb="FF1F4E79"/>
      <name val="Microsoft YaHei"/>
      <charset val="134"/>
    </font>
    <font>
      <sz val="10"/>
      <color rgb="FF222222"/>
      <name val="Microsoft YaHei"/>
      <charset val="134"/>
    </font>
    <font>
      <sz val="9"/>
      <color rgb="FF595959"/>
      <name val="Microsoft YaHei"/>
      <charset val="134"/>
    </font>
    <font>
      <b/>
      <sz val="10"/>
      <name val="Microsoft YaHei"/>
      <charset val="134"/>
    </font>
    <font>
      <b/>
      <sz val="11"/>
      <name val="Microsoft YaHei"/>
      <charset val="134"/>
    </font>
    <font>
      <sz val="10"/>
      <color rgb="FF1F4E79"/>
      <name val="Microsoft YaHei"/>
      <charset val="134"/>
    </font>
    <font>
      <b/>
      <sz val="11"/>
      <color rgb="FF0000FF"/>
      <name val="Microsoft YaHei"/>
      <charset val="134"/>
    </font>
    <font>
      <sz val="10"/>
      <color rgb="FF595959"/>
      <name val="Microsoft YaHei"/>
      <charset val="134"/>
    </font>
    <font>
      <sz val="10"/>
      <name val="Microsoft YaHei"/>
      <charset val="134"/>
    </font>
    <font>
      <sz val="11"/>
      <color rgb="FFFFFFFF"/>
      <name val="Microsoft YaHei"/>
      <charset val="134"/>
    </font>
    <font>
      <sz val="11"/>
      <color rgb="FF000000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F3A5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1" fontId="3" fillId="7" borderId="1" xfId="0" applyNumberFormat="1" applyFont="1" applyFill="1" applyBorder="1" applyAlignment="1">
      <alignment horizontal="center" vertical="center" wrapText="1"/>
    </xf>
    <xf numFmtId="1" fontId="3" fillId="8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0" borderId="0" xfId="0" applyFont="1"/>
    <xf numFmtId="0" fontId="10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13" fillId="3" borderId="0" xfId="0" applyFont="1" applyFill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10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6" fillId="0" borderId="0" xfId="0" applyFont="1" applyAlignment="1">
      <alignment vertical="center" wrapText="1"/>
    </xf>
  </cellXfs>
  <cellStyles count="1">
    <cellStyle name="常规" xfId="0" builtinId="0"/>
  </cellStyles>
  <dxfs count="5">
    <dxf>
      <font>
        <color rgb="FF006100"/>
        <name val="Microsoft YaHei"/>
        <scheme val="none"/>
      </font>
      <fill>
        <patternFill patternType="solid">
          <fgColor rgb="FFC6EFCE"/>
        </patternFill>
      </fill>
    </dxf>
    <dxf>
      <font>
        <b/>
        <color rgb="FFC65911"/>
        <name val="Microsoft YaHei"/>
        <scheme val="none"/>
      </font>
      <fill>
        <patternFill patternType="solid">
          <fgColor rgb="FFFCE4D6"/>
        </patternFill>
      </fill>
    </dxf>
    <dxf>
      <font>
        <b/>
        <color rgb="FF595959"/>
        <name val="Microsoft YaHei"/>
        <scheme val="none"/>
      </font>
      <fill>
        <patternFill patternType="solid">
          <fgColor rgb="FFE7E6E6"/>
        </patternFill>
      </fill>
    </dxf>
    <dxf>
      <font>
        <b/>
        <color rgb="FF9C5700"/>
        <name val="Microsoft YaHei"/>
        <scheme val="none"/>
      </font>
      <fill>
        <patternFill patternType="solid">
          <fgColor rgb="FFFFEB9C"/>
        </patternFill>
      </fill>
    </dxf>
    <dxf>
      <font>
        <b/>
        <color rgb="FF006100"/>
        <name val="Microsoft YaHei"/>
        <scheme val="none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各模块勾选构成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勾选汇总!$C$10</c:f>
              <c:strCache>
                <c:ptCount val="1"/>
                <c:pt idx="0">
                  <c:v>纳入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1"/>
          <c:cat>
            <c:strRef>
              <c:f>勾选汇总!$B$11:$B$27</c:f>
              <c:strCache>
                <c:ptCount val="17"/>
                <c:pt idx="0">
                  <c:v>01 组织账号与权限</c:v>
                </c:pt>
                <c:pt idx="1">
                  <c:v>02 患者、床位、入组</c:v>
                </c:pt>
                <c:pt idx="2">
                  <c:v>03 内容知识库</c:v>
                </c:pt>
                <c:pt idx="3">
                  <c:v>04 宣教路径模板</c:v>
                </c:pt>
                <c:pt idx="4">
                  <c:v>05 手动推送 / 群发</c:v>
                </c:pt>
                <c:pt idx="5">
                  <c:v>06 智能 / 计划推送</c:v>
                </c:pt>
                <c:pt idx="6">
                  <c:v>07 触达渠道</c:v>
                </c:pt>
                <c:pt idx="7">
                  <c:v>08 阅读闭环与护理任务</c:v>
                </c:pt>
                <c:pt idx="8">
                  <c:v>09 问卷</c:v>
                </c:pt>
                <c:pt idx="9">
                  <c:v>10 咨询与消息</c:v>
                </c:pt>
                <c:pt idx="10">
                  <c:v>11 患者端宣教中心</c:v>
                </c:pt>
                <c:pt idx="11">
                  <c:v>12 护理质控与成果</c:v>
                </c:pt>
                <c:pt idx="12">
                  <c:v>13 团队、通知、反馈</c:v>
                </c:pt>
                <c:pt idx="13">
                  <c:v>14 患友会 / 直播 / 讲堂</c:v>
                </c:pt>
                <c:pt idx="14">
                  <c:v>15 医护培训与考试</c:v>
                </c:pt>
                <c:pt idx="15">
                  <c:v>16 集成与安全</c:v>
                </c:pt>
                <c:pt idx="16">
                  <c:v>17 AI 增强</c:v>
                </c:pt>
              </c:strCache>
            </c:strRef>
          </c:cat>
          <c:val>
            <c:numRef>
              <c:f>勾选汇总!$C$11:$C$27</c:f>
              <c:numCache>
                <c:formatCode>General</c:formatCode>
                <c:ptCount val="17"/>
                <c:pt idx="0">
                  <c:v>4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0</c:v>
                </c:pt>
                <c:pt idx="10">
                  <c:v>3</c:v>
                </c:pt>
                <c:pt idx="11">
                  <c:v>5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4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D-425D-9EA1-4B609F480173}"/>
            </c:ext>
          </c:extLst>
        </c:ser>
        <c:ser>
          <c:idx val="1"/>
          <c:order val="1"/>
          <c:tx>
            <c:strRef>
              <c:f>勾选汇总!$D$10</c:f>
              <c:strCache>
                <c:ptCount val="1"/>
                <c:pt idx="0">
                  <c:v>延期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1"/>
          <c:cat>
            <c:strRef>
              <c:f>勾选汇总!$B$11:$B$27</c:f>
              <c:strCache>
                <c:ptCount val="17"/>
                <c:pt idx="0">
                  <c:v>01 组织账号与权限</c:v>
                </c:pt>
                <c:pt idx="1">
                  <c:v>02 患者、床位、入组</c:v>
                </c:pt>
                <c:pt idx="2">
                  <c:v>03 内容知识库</c:v>
                </c:pt>
                <c:pt idx="3">
                  <c:v>04 宣教路径模板</c:v>
                </c:pt>
                <c:pt idx="4">
                  <c:v>05 手动推送 / 群发</c:v>
                </c:pt>
                <c:pt idx="5">
                  <c:v>06 智能 / 计划推送</c:v>
                </c:pt>
                <c:pt idx="6">
                  <c:v>07 触达渠道</c:v>
                </c:pt>
                <c:pt idx="7">
                  <c:v>08 阅读闭环与护理任务</c:v>
                </c:pt>
                <c:pt idx="8">
                  <c:v>09 问卷</c:v>
                </c:pt>
                <c:pt idx="9">
                  <c:v>10 咨询与消息</c:v>
                </c:pt>
                <c:pt idx="10">
                  <c:v>11 患者端宣教中心</c:v>
                </c:pt>
                <c:pt idx="11">
                  <c:v>12 护理质控与成果</c:v>
                </c:pt>
                <c:pt idx="12">
                  <c:v>13 团队、通知、反馈</c:v>
                </c:pt>
                <c:pt idx="13">
                  <c:v>14 患友会 / 直播 / 讲堂</c:v>
                </c:pt>
                <c:pt idx="14">
                  <c:v>15 医护培训与考试</c:v>
                </c:pt>
                <c:pt idx="15">
                  <c:v>16 集成与安全</c:v>
                </c:pt>
                <c:pt idx="16">
                  <c:v>17 AI 增强</c:v>
                </c:pt>
              </c:strCache>
            </c:strRef>
          </c:cat>
          <c:val>
            <c:numRef>
              <c:f>勾选汇总!$D$11:$D$27</c:f>
              <c:numCache>
                <c:formatCode>General</c:formatCode>
                <c:ptCount val="17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7D-425D-9EA1-4B609F480173}"/>
            </c:ext>
          </c:extLst>
        </c:ser>
        <c:ser>
          <c:idx val="2"/>
          <c:order val="2"/>
          <c:tx>
            <c:strRef>
              <c:f>勾选汇总!$E$10</c:f>
              <c:strCache>
                <c:ptCount val="1"/>
                <c:pt idx="0">
                  <c:v>不做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1"/>
          <c:cat>
            <c:strRef>
              <c:f>勾选汇总!$B$11:$B$27</c:f>
              <c:strCache>
                <c:ptCount val="17"/>
                <c:pt idx="0">
                  <c:v>01 组织账号与权限</c:v>
                </c:pt>
                <c:pt idx="1">
                  <c:v>02 患者、床位、入组</c:v>
                </c:pt>
                <c:pt idx="2">
                  <c:v>03 内容知识库</c:v>
                </c:pt>
                <c:pt idx="3">
                  <c:v>04 宣教路径模板</c:v>
                </c:pt>
                <c:pt idx="4">
                  <c:v>05 手动推送 / 群发</c:v>
                </c:pt>
                <c:pt idx="5">
                  <c:v>06 智能 / 计划推送</c:v>
                </c:pt>
                <c:pt idx="6">
                  <c:v>07 触达渠道</c:v>
                </c:pt>
                <c:pt idx="7">
                  <c:v>08 阅读闭环与护理任务</c:v>
                </c:pt>
                <c:pt idx="8">
                  <c:v>09 问卷</c:v>
                </c:pt>
                <c:pt idx="9">
                  <c:v>10 咨询与消息</c:v>
                </c:pt>
                <c:pt idx="10">
                  <c:v>11 患者端宣教中心</c:v>
                </c:pt>
                <c:pt idx="11">
                  <c:v>12 护理质控与成果</c:v>
                </c:pt>
                <c:pt idx="12">
                  <c:v>13 团队、通知、反馈</c:v>
                </c:pt>
                <c:pt idx="13">
                  <c:v>14 患友会 / 直播 / 讲堂</c:v>
                </c:pt>
                <c:pt idx="14">
                  <c:v>15 医护培训与考试</c:v>
                </c:pt>
                <c:pt idx="15">
                  <c:v>16 集成与安全</c:v>
                </c:pt>
                <c:pt idx="16">
                  <c:v>17 AI 增强</c:v>
                </c:pt>
              </c:strCache>
            </c:strRef>
          </c:cat>
          <c:val>
            <c:numRef>
              <c:f>勾选汇总!$E$11:$E$27</c:f>
              <c:numCache>
                <c:formatCode>General</c:formatCode>
                <c:ptCount val="17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6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7D-425D-9EA1-4B609F480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条数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  <c:extLst>
      <c:ext uri="{0b15fc19-7d7d-44ad-8c2d-2c3a37ce22c3}">
        <chartProps xmlns="https://web.wps.cn/et/2018/main" chartId="{10192f1a-a5bd-4456-9783-de038ff49f6a}"/>
      </c:ext>
    </c:extLst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31</xdr:row>
      <xdr:rowOff>0</xdr:rowOff>
    </xdr:from>
    <xdr:ext cx="7920000" cy="3730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B1:G18"/>
  <sheetViews>
    <sheetView showGridLines="0" zoomScale="80" zoomScaleNormal="8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9" defaultRowHeight="13.5"/>
  <cols>
    <col min="1" max="1" width="3" customWidth="1"/>
    <col min="2" max="2" width="8" customWidth="1"/>
    <col min="3" max="3" width="36" customWidth="1"/>
    <col min="4" max="5" width="22" customWidth="1"/>
    <col min="6" max="7" width="18" customWidth="1"/>
  </cols>
  <sheetData>
    <row r="1" spans="2:7" ht="8" customHeight="1"/>
    <row r="2" spans="2:7" ht="36" customHeight="1">
      <c r="B2" s="33" t="s">
        <v>0</v>
      </c>
      <c r="C2" s="34"/>
      <c r="D2" s="34"/>
      <c r="E2" s="34"/>
      <c r="F2" s="34"/>
      <c r="G2" s="34"/>
    </row>
    <row r="3" spans="2:7" ht="28.05" customHeight="1">
      <c r="B3" s="35" t="s">
        <v>1</v>
      </c>
      <c r="C3" s="34"/>
      <c r="D3" s="34"/>
      <c r="E3" s="34"/>
      <c r="F3" s="34"/>
      <c r="G3" s="34"/>
    </row>
    <row r="5" spans="2:7" ht="20.25">
      <c r="B5" s="10" t="s">
        <v>2</v>
      </c>
    </row>
    <row r="6" spans="2:7" ht="32" customHeight="1">
      <c r="B6" s="27" t="s">
        <v>3</v>
      </c>
      <c r="C6" s="28" t="s">
        <v>4</v>
      </c>
      <c r="D6" s="36" t="s">
        <v>5</v>
      </c>
      <c r="E6" s="34"/>
      <c r="F6" s="34"/>
      <c r="G6" s="34"/>
    </row>
    <row r="7" spans="2:7" ht="32" customHeight="1">
      <c r="B7" s="27" t="s">
        <v>6</v>
      </c>
      <c r="C7" s="28" t="s">
        <v>7</v>
      </c>
      <c r="D7" s="36" t="s">
        <v>8</v>
      </c>
      <c r="E7" s="34"/>
      <c r="F7" s="34"/>
      <c r="G7" s="34"/>
    </row>
    <row r="8" spans="2:7" ht="32" customHeight="1">
      <c r="B8" s="27" t="s">
        <v>9</v>
      </c>
      <c r="C8" s="28" t="s">
        <v>10</v>
      </c>
      <c r="D8" s="36" t="s">
        <v>11</v>
      </c>
      <c r="E8" s="34"/>
      <c r="F8" s="34"/>
      <c r="G8" s="34"/>
    </row>
    <row r="9" spans="2:7" ht="32" customHeight="1">
      <c r="B9" s="27" t="s">
        <v>12</v>
      </c>
      <c r="C9" s="28" t="s">
        <v>13</v>
      </c>
      <c r="D9" s="36" t="s">
        <v>14</v>
      </c>
      <c r="E9" s="34"/>
      <c r="F9" s="34"/>
      <c r="G9" s="34"/>
    </row>
    <row r="10" spans="2:7" ht="32" customHeight="1">
      <c r="B10" s="27" t="s">
        <v>15</v>
      </c>
      <c r="C10" s="28" t="s">
        <v>16</v>
      </c>
      <c r="D10" s="36" t="s">
        <v>17</v>
      </c>
      <c r="E10" s="34"/>
      <c r="F10" s="34"/>
      <c r="G10" s="34"/>
    </row>
    <row r="11" spans="2:7" ht="32" customHeight="1">
      <c r="B11" s="27" t="s">
        <v>18</v>
      </c>
      <c r="C11" s="28" t="s">
        <v>19</v>
      </c>
      <c r="D11" s="36" t="s">
        <v>20</v>
      </c>
      <c r="E11" s="34"/>
      <c r="F11" s="34"/>
      <c r="G11" s="34"/>
    </row>
    <row r="13" spans="2:7" ht="20.25">
      <c r="B13" s="10" t="s">
        <v>21</v>
      </c>
    </row>
    <row r="14" spans="2:7" ht="13.9">
      <c r="B14" s="29" t="s">
        <v>22</v>
      </c>
      <c r="C14" s="30" t="s">
        <v>23</v>
      </c>
      <c r="D14" s="31" t="s">
        <v>24</v>
      </c>
      <c r="E14" s="32" t="s">
        <v>25</v>
      </c>
    </row>
    <row r="16" spans="2:7">
      <c r="B16" s="37" t="s">
        <v>26</v>
      </c>
      <c r="C16" s="34"/>
      <c r="D16" s="34"/>
      <c r="E16" s="34"/>
      <c r="F16" s="34"/>
      <c r="G16" s="34"/>
    </row>
    <row r="17" spans="2:7">
      <c r="B17" s="34"/>
      <c r="C17" s="34"/>
      <c r="D17" s="34"/>
      <c r="E17" s="34"/>
      <c r="F17" s="34"/>
      <c r="G17" s="34"/>
    </row>
    <row r="18" spans="2:7">
      <c r="B18" s="34"/>
      <c r="C18" s="34"/>
      <c r="D18" s="34"/>
      <c r="E18" s="34"/>
      <c r="F18" s="34"/>
      <c r="G18" s="34"/>
    </row>
  </sheetData>
  <mergeCells count="9">
    <mergeCell ref="D9:G9"/>
    <mergeCell ref="D10:G10"/>
    <mergeCell ref="D11:G11"/>
    <mergeCell ref="B16:G18"/>
    <mergeCell ref="B2:G2"/>
    <mergeCell ref="B3:G3"/>
    <mergeCell ref="D6:G6"/>
    <mergeCell ref="D7:G7"/>
    <mergeCell ref="D8:G8"/>
  </mergeCells>
  <phoneticPr fontId="16" type="noConversion"/>
  <printOptions horizontalCentered="1"/>
  <pageMargins left="0.75" right="0.75" top="1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AB"/>
    <pageSetUpPr fitToPage="1"/>
  </sheetPr>
  <dimension ref="A1:J104"/>
  <sheetViews>
    <sheetView tabSelected="1" zoomScale="70" zoomScaleNormal="70" workbookViewId="0">
      <pane ySplit="4" topLeftCell="A93" activePane="bottomLeft" state="frozen"/>
      <selection pane="bottomLeft" activeCell="D95" sqref="D95:D98"/>
    </sheetView>
  </sheetViews>
  <sheetFormatPr defaultColWidth="9" defaultRowHeight="13.5"/>
  <cols>
    <col min="1" max="1" width="12" customWidth="1"/>
    <col min="2" max="2" width="10" customWidth="1"/>
    <col min="3" max="3" width="24" customWidth="1"/>
    <col min="4" max="4" width="42" customWidth="1"/>
    <col min="5" max="5" width="48" customWidth="1"/>
    <col min="6" max="6" width="18" customWidth="1"/>
    <col min="7" max="8" width="12" customWidth="1"/>
    <col min="9" max="9" width="22" customWidth="1"/>
    <col min="10" max="10" width="36" customWidth="1"/>
  </cols>
  <sheetData>
    <row r="1" spans="1:10" ht="32" customHeight="1">
      <c r="A1" s="33" t="s">
        <v>27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28.05" customHeight="1">
      <c r="A2" s="38" t="s">
        <v>28</v>
      </c>
      <c r="B2" s="34"/>
      <c r="C2" s="34"/>
      <c r="D2" s="34"/>
      <c r="E2" s="34"/>
      <c r="F2" s="34"/>
      <c r="G2" s="34"/>
      <c r="H2" s="34"/>
      <c r="I2" s="34"/>
      <c r="J2" s="34"/>
    </row>
    <row r="4" spans="1:10" ht="24" customHeight="1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</row>
    <row r="5" spans="1:10" ht="42" customHeight="1">
      <c r="A5" s="19" t="s">
        <v>22</v>
      </c>
      <c r="B5" s="20" t="s">
        <v>39</v>
      </c>
      <c r="C5" s="21" t="s">
        <v>40</v>
      </c>
      <c r="D5" s="21" t="s">
        <v>41</v>
      </c>
      <c r="E5" s="21" t="s">
        <v>42</v>
      </c>
      <c r="F5" s="12" t="s">
        <v>43</v>
      </c>
      <c r="G5" s="22" t="s">
        <v>22</v>
      </c>
      <c r="H5" s="23" t="str">
        <f t="shared" ref="H5:H36" si="0">IF(A5="","未勾选",IF(A5=G5,"一致","已改"))</f>
        <v>一致</v>
      </c>
      <c r="I5" s="21" t="s">
        <v>44</v>
      </c>
      <c r="J5" s="21"/>
    </row>
    <row r="6" spans="1:10" ht="42" customHeight="1">
      <c r="A6" s="19" t="s">
        <v>22</v>
      </c>
      <c r="B6" s="24" t="s">
        <v>45</v>
      </c>
      <c r="C6" s="25" t="s">
        <v>40</v>
      </c>
      <c r="D6" s="25" t="s">
        <v>46</v>
      </c>
      <c r="E6" s="25" t="s">
        <v>47</v>
      </c>
      <c r="F6" s="15" t="s">
        <v>43</v>
      </c>
      <c r="G6" s="22" t="s">
        <v>22</v>
      </c>
      <c r="H6" s="23" t="str">
        <f t="shared" si="0"/>
        <v>一致</v>
      </c>
      <c r="I6" s="25" t="s">
        <v>48</v>
      </c>
      <c r="J6" s="25"/>
    </row>
    <row r="7" spans="1:10" ht="42" customHeight="1">
      <c r="A7" s="19" t="s">
        <v>22</v>
      </c>
      <c r="B7" s="20" t="s">
        <v>49</v>
      </c>
      <c r="C7" s="21" t="s">
        <v>40</v>
      </c>
      <c r="D7" s="21" t="s">
        <v>50</v>
      </c>
      <c r="E7" s="21" t="s">
        <v>51</v>
      </c>
      <c r="F7" s="12" t="s">
        <v>43</v>
      </c>
      <c r="G7" s="22" t="s">
        <v>22</v>
      </c>
      <c r="H7" s="23" t="str">
        <f t="shared" si="0"/>
        <v>一致</v>
      </c>
      <c r="I7" s="21" t="s">
        <v>52</v>
      </c>
      <c r="J7" s="21" t="s">
        <v>53</v>
      </c>
    </row>
    <row r="8" spans="1:10" ht="42" customHeight="1">
      <c r="A8" s="19" t="s">
        <v>22</v>
      </c>
      <c r="B8" s="24" t="s">
        <v>54</v>
      </c>
      <c r="C8" s="25" t="s">
        <v>40</v>
      </c>
      <c r="D8" s="25" t="s">
        <v>55</v>
      </c>
      <c r="E8" s="25" t="s">
        <v>56</v>
      </c>
      <c r="F8" s="15" t="s">
        <v>57</v>
      </c>
      <c r="G8" s="22" t="s">
        <v>23</v>
      </c>
      <c r="H8" s="23" t="str">
        <f t="shared" si="0"/>
        <v>已改</v>
      </c>
      <c r="I8" s="25" t="s">
        <v>58</v>
      </c>
      <c r="J8" s="25" t="s">
        <v>59</v>
      </c>
    </row>
    <row r="9" spans="1:10" ht="42" customHeight="1">
      <c r="A9" s="19" t="s">
        <v>24</v>
      </c>
      <c r="B9" s="20" t="s">
        <v>60</v>
      </c>
      <c r="C9" s="21" t="s">
        <v>40</v>
      </c>
      <c r="D9" s="21" t="s">
        <v>61</v>
      </c>
      <c r="E9" s="21" t="s">
        <v>62</v>
      </c>
      <c r="F9" s="12" t="s">
        <v>63</v>
      </c>
      <c r="G9" s="22" t="s">
        <v>24</v>
      </c>
      <c r="H9" s="23" t="str">
        <f t="shared" si="0"/>
        <v>一致</v>
      </c>
      <c r="I9" s="21" t="s">
        <v>44</v>
      </c>
      <c r="J9" s="21" t="s">
        <v>64</v>
      </c>
    </row>
    <row r="10" spans="1:10" ht="42" customHeight="1">
      <c r="A10" s="19" t="s">
        <v>24</v>
      </c>
      <c r="B10" s="24" t="s">
        <v>65</v>
      </c>
      <c r="C10" s="25" t="s">
        <v>40</v>
      </c>
      <c r="D10" s="25" t="s">
        <v>66</v>
      </c>
      <c r="E10" s="25" t="s">
        <v>67</v>
      </c>
      <c r="F10" s="15" t="s">
        <v>68</v>
      </c>
      <c r="G10" s="22" t="s">
        <v>23</v>
      </c>
      <c r="H10" s="23" t="str">
        <f t="shared" si="0"/>
        <v>已改</v>
      </c>
      <c r="I10" s="25" t="s">
        <v>69</v>
      </c>
      <c r="J10" s="25" t="s">
        <v>70</v>
      </c>
    </row>
    <row r="11" spans="1:10" ht="42" customHeight="1">
      <c r="A11" s="19" t="s">
        <v>22</v>
      </c>
      <c r="B11" s="20" t="s">
        <v>71</v>
      </c>
      <c r="C11" s="21" t="s">
        <v>72</v>
      </c>
      <c r="D11" s="21" t="s">
        <v>73</v>
      </c>
      <c r="E11" s="21" t="s">
        <v>74</v>
      </c>
      <c r="F11" s="12" t="s">
        <v>43</v>
      </c>
      <c r="G11" s="22" t="s">
        <v>22</v>
      </c>
      <c r="H11" s="23" t="str">
        <f t="shared" si="0"/>
        <v>一致</v>
      </c>
      <c r="I11" s="21" t="s">
        <v>75</v>
      </c>
      <c r="J11" s="21"/>
    </row>
    <row r="12" spans="1:10" ht="42" customHeight="1">
      <c r="A12" s="19" t="s">
        <v>23</v>
      </c>
      <c r="B12" s="24" t="s">
        <v>76</v>
      </c>
      <c r="C12" s="21" t="s">
        <v>72</v>
      </c>
      <c r="D12" s="25" t="s">
        <v>77</v>
      </c>
      <c r="E12" s="25" t="s">
        <v>78</v>
      </c>
      <c r="F12" s="15" t="s">
        <v>68</v>
      </c>
      <c r="G12" s="22" t="s">
        <v>23</v>
      </c>
      <c r="H12" s="23" t="str">
        <f t="shared" si="0"/>
        <v>一致</v>
      </c>
      <c r="I12" s="25" t="s">
        <v>75</v>
      </c>
      <c r="J12" s="25" t="s">
        <v>79</v>
      </c>
    </row>
    <row r="13" spans="1:10" ht="42" customHeight="1">
      <c r="A13" s="19" t="s">
        <v>22</v>
      </c>
      <c r="B13" s="20" t="s">
        <v>80</v>
      </c>
      <c r="C13" s="21" t="s">
        <v>72</v>
      </c>
      <c r="D13" s="21" t="s">
        <v>81</v>
      </c>
      <c r="E13" s="21" t="s">
        <v>82</v>
      </c>
      <c r="F13" s="12" t="s">
        <v>43</v>
      </c>
      <c r="G13" s="22" t="s">
        <v>22</v>
      </c>
      <c r="H13" s="23" t="str">
        <f t="shared" si="0"/>
        <v>一致</v>
      </c>
      <c r="I13" s="21" t="s">
        <v>83</v>
      </c>
      <c r="J13" s="21" t="s">
        <v>84</v>
      </c>
    </row>
    <row r="14" spans="1:10" ht="42" customHeight="1">
      <c r="A14" s="19" t="s">
        <v>22</v>
      </c>
      <c r="B14" s="24" t="s">
        <v>85</v>
      </c>
      <c r="C14" s="25" t="s">
        <v>72</v>
      </c>
      <c r="D14" s="25" t="s">
        <v>86</v>
      </c>
      <c r="E14" s="25" t="s">
        <v>87</v>
      </c>
      <c r="F14" s="15" t="s">
        <v>43</v>
      </c>
      <c r="G14" s="22" t="s">
        <v>22</v>
      </c>
      <c r="H14" s="23" t="str">
        <f t="shared" si="0"/>
        <v>一致</v>
      </c>
      <c r="I14" s="25" t="s">
        <v>75</v>
      </c>
      <c r="J14" s="25"/>
    </row>
    <row r="15" spans="1:10" ht="42" customHeight="1">
      <c r="A15" s="19" t="s">
        <v>22</v>
      </c>
      <c r="B15" s="20" t="s">
        <v>88</v>
      </c>
      <c r="C15" s="21" t="s">
        <v>72</v>
      </c>
      <c r="D15" s="21" t="s">
        <v>416</v>
      </c>
      <c r="E15" s="21" t="s">
        <v>89</v>
      </c>
      <c r="F15" s="12" t="s">
        <v>43</v>
      </c>
      <c r="G15" s="22" t="s">
        <v>22</v>
      </c>
      <c r="H15" s="23" t="str">
        <f t="shared" si="0"/>
        <v>一致</v>
      </c>
      <c r="I15" s="21" t="s">
        <v>75</v>
      </c>
      <c r="J15" s="21"/>
    </row>
    <row r="16" spans="1:10" ht="42" customHeight="1">
      <c r="A16" s="19" t="s">
        <v>22</v>
      </c>
      <c r="B16" s="24" t="s">
        <v>90</v>
      </c>
      <c r="C16" s="25" t="s">
        <v>72</v>
      </c>
      <c r="D16" s="25" t="s">
        <v>91</v>
      </c>
      <c r="E16" s="25" t="s">
        <v>92</v>
      </c>
      <c r="F16" s="15" t="s">
        <v>43</v>
      </c>
      <c r="G16" s="22" t="s">
        <v>22</v>
      </c>
      <c r="H16" s="23" t="str">
        <f t="shared" si="0"/>
        <v>一致</v>
      </c>
      <c r="I16" s="25" t="s">
        <v>93</v>
      </c>
      <c r="J16" s="25"/>
    </row>
    <row r="17" spans="1:10" ht="42" customHeight="1">
      <c r="A17" s="19" t="s">
        <v>23</v>
      </c>
      <c r="B17" s="20" t="s">
        <v>94</v>
      </c>
      <c r="C17" s="21" t="s">
        <v>72</v>
      </c>
      <c r="D17" s="21" t="s">
        <v>95</v>
      </c>
      <c r="E17" s="21" t="s">
        <v>96</v>
      </c>
      <c r="F17" s="12" t="s">
        <v>68</v>
      </c>
      <c r="G17" s="22" t="s">
        <v>23</v>
      </c>
      <c r="H17" s="23" t="str">
        <f t="shared" si="0"/>
        <v>一致</v>
      </c>
      <c r="I17" s="21" t="s">
        <v>58</v>
      </c>
      <c r="J17" s="21"/>
    </row>
    <row r="18" spans="1:10" ht="42" customHeight="1">
      <c r="A18" s="19" t="s">
        <v>22</v>
      </c>
      <c r="B18" s="24" t="s">
        <v>97</v>
      </c>
      <c r="C18" s="25" t="s">
        <v>72</v>
      </c>
      <c r="D18" s="25" t="s">
        <v>98</v>
      </c>
      <c r="E18" s="25" t="s">
        <v>99</v>
      </c>
      <c r="F18" s="15" t="s">
        <v>68</v>
      </c>
      <c r="G18" s="22" t="s">
        <v>23</v>
      </c>
      <c r="H18" s="23" t="str">
        <f t="shared" si="0"/>
        <v>已改</v>
      </c>
      <c r="I18" s="25" t="s">
        <v>100</v>
      </c>
      <c r="J18" s="25"/>
    </row>
    <row r="19" spans="1:10" ht="42" customHeight="1">
      <c r="A19" s="19" t="s">
        <v>22</v>
      </c>
      <c r="B19" s="20" t="s">
        <v>101</v>
      </c>
      <c r="C19" s="21" t="s">
        <v>72</v>
      </c>
      <c r="D19" s="21" t="s">
        <v>102</v>
      </c>
      <c r="E19" s="21" t="s">
        <v>103</v>
      </c>
      <c r="F19" s="12" t="s">
        <v>43</v>
      </c>
      <c r="G19" s="22" t="s">
        <v>22</v>
      </c>
      <c r="H19" s="23" t="str">
        <f t="shared" si="0"/>
        <v>一致</v>
      </c>
      <c r="I19" s="21" t="s">
        <v>75</v>
      </c>
      <c r="J19" s="21"/>
    </row>
    <row r="20" spans="1:10" ht="42" customHeight="1">
      <c r="A20" s="19" t="s">
        <v>23</v>
      </c>
      <c r="B20" s="24" t="s">
        <v>104</v>
      </c>
      <c r="C20" s="25" t="s">
        <v>72</v>
      </c>
      <c r="D20" s="25" t="s">
        <v>105</v>
      </c>
      <c r="E20" s="25" t="s">
        <v>106</v>
      </c>
      <c r="F20" s="15" t="s">
        <v>68</v>
      </c>
      <c r="G20" s="22" t="s">
        <v>23</v>
      </c>
      <c r="H20" s="23" t="str">
        <f t="shared" si="0"/>
        <v>一致</v>
      </c>
      <c r="I20" s="25" t="s">
        <v>107</v>
      </c>
      <c r="J20" s="25"/>
    </row>
    <row r="21" spans="1:10" ht="42" customHeight="1">
      <c r="A21" s="19" t="s">
        <v>24</v>
      </c>
      <c r="B21" s="20" t="s">
        <v>108</v>
      </c>
      <c r="C21" s="21" t="s">
        <v>72</v>
      </c>
      <c r="D21" s="21" t="s">
        <v>109</v>
      </c>
      <c r="E21" s="21" t="s">
        <v>110</v>
      </c>
      <c r="F21" s="12" t="s">
        <v>63</v>
      </c>
      <c r="G21" s="22" t="s">
        <v>24</v>
      </c>
      <c r="H21" s="23" t="str">
        <f t="shared" si="0"/>
        <v>一致</v>
      </c>
      <c r="I21" s="21" t="s">
        <v>69</v>
      </c>
      <c r="J21" s="21" t="s">
        <v>111</v>
      </c>
    </row>
    <row r="22" spans="1:10" ht="42" customHeight="1">
      <c r="A22" s="19" t="s">
        <v>22</v>
      </c>
      <c r="B22" s="24" t="s">
        <v>112</v>
      </c>
      <c r="C22" s="25" t="s">
        <v>113</v>
      </c>
      <c r="D22" s="25" t="s">
        <v>114</v>
      </c>
      <c r="E22" s="25" t="s">
        <v>115</v>
      </c>
      <c r="F22" s="15" t="s">
        <v>43</v>
      </c>
      <c r="G22" s="22" t="s">
        <v>22</v>
      </c>
      <c r="H22" s="23" t="str">
        <f t="shared" si="0"/>
        <v>一致</v>
      </c>
      <c r="I22" s="25" t="s">
        <v>116</v>
      </c>
      <c r="J22" s="25" t="s">
        <v>117</v>
      </c>
    </row>
    <row r="23" spans="1:10" ht="42" customHeight="1">
      <c r="A23" s="19" t="s">
        <v>22</v>
      </c>
      <c r="B23" s="20" t="s">
        <v>118</v>
      </c>
      <c r="C23" s="21" t="s">
        <v>113</v>
      </c>
      <c r="D23" s="21" t="s">
        <v>119</v>
      </c>
      <c r="E23" s="21" t="s">
        <v>120</v>
      </c>
      <c r="F23" s="12" t="s">
        <v>43</v>
      </c>
      <c r="G23" s="22" t="s">
        <v>22</v>
      </c>
      <c r="H23" s="23" t="str">
        <f t="shared" si="0"/>
        <v>一致</v>
      </c>
      <c r="I23" s="21" t="s">
        <v>100</v>
      </c>
      <c r="J23" s="21"/>
    </row>
    <row r="24" spans="1:10" ht="42" customHeight="1">
      <c r="A24" s="19" t="s">
        <v>22</v>
      </c>
      <c r="B24" s="24" t="s">
        <v>121</v>
      </c>
      <c r="C24" s="25" t="s">
        <v>113</v>
      </c>
      <c r="D24" s="25" t="s">
        <v>122</v>
      </c>
      <c r="E24" s="25" t="s">
        <v>123</v>
      </c>
      <c r="F24" s="15" t="s">
        <v>68</v>
      </c>
      <c r="G24" s="22" t="s">
        <v>23</v>
      </c>
      <c r="H24" s="23" t="str">
        <f t="shared" si="0"/>
        <v>已改</v>
      </c>
      <c r="I24" s="25" t="s">
        <v>124</v>
      </c>
      <c r="J24" s="25"/>
    </row>
    <row r="25" spans="1:10" ht="42" customHeight="1">
      <c r="A25" s="19" t="s">
        <v>22</v>
      </c>
      <c r="B25" s="20" t="s">
        <v>125</v>
      </c>
      <c r="C25" s="21" t="s">
        <v>113</v>
      </c>
      <c r="D25" s="21" t="s">
        <v>126</v>
      </c>
      <c r="E25" s="21" t="s">
        <v>127</v>
      </c>
      <c r="F25" s="12" t="s">
        <v>68</v>
      </c>
      <c r="G25" s="22" t="s">
        <v>23</v>
      </c>
      <c r="H25" s="23" t="str">
        <f t="shared" si="0"/>
        <v>已改</v>
      </c>
      <c r="I25" s="21" t="s">
        <v>128</v>
      </c>
      <c r="J25" s="21"/>
    </row>
    <row r="26" spans="1:10" ht="42" customHeight="1">
      <c r="A26" s="19" t="s">
        <v>24</v>
      </c>
      <c r="B26" s="24" t="s">
        <v>129</v>
      </c>
      <c r="C26" s="25" t="s">
        <v>113</v>
      </c>
      <c r="D26" s="25" t="s">
        <v>130</v>
      </c>
      <c r="E26" s="25" t="s">
        <v>131</v>
      </c>
      <c r="F26" s="15" t="s">
        <v>68</v>
      </c>
      <c r="G26" s="22" t="s">
        <v>23</v>
      </c>
      <c r="H26" s="23" t="str">
        <f t="shared" si="0"/>
        <v>已改</v>
      </c>
      <c r="I26" s="25" t="s">
        <v>58</v>
      </c>
      <c r="J26" s="25"/>
    </row>
    <row r="27" spans="1:10" ht="42" customHeight="1">
      <c r="A27" s="19" t="s">
        <v>22</v>
      </c>
      <c r="B27" s="20" t="s">
        <v>132</v>
      </c>
      <c r="C27" s="21" t="s">
        <v>113</v>
      </c>
      <c r="D27" s="21" t="s">
        <v>133</v>
      </c>
      <c r="E27" s="21" t="s">
        <v>134</v>
      </c>
      <c r="F27" s="12" t="s">
        <v>68</v>
      </c>
      <c r="G27" s="22" t="s">
        <v>23</v>
      </c>
      <c r="H27" s="23" t="str">
        <f t="shared" si="0"/>
        <v>已改</v>
      </c>
      <c r="I27" s="21" t="s">
        <v>124</v>
      </c>
      <c r="J27" s="21"/>
    </row>
    <row r="28" spans="1:10" ht="42" customHeight="1">
      <c r="A28" s="19" t="s">
        <v>24</v>
      </c>
      <c r="B28" s="24" t="s">
        <v>135</v>
      </c>
      <c r="C28" s="25" t="s">
        <v>113</v>
      </c>
      <c r="D28" s="25" t="s">
        <v>136</v>
      </c>
      <c r="E28" s="25" t="s">
        <v>137</v>
      </c>
      <c r="F28" s="15" t="s">
        <v>138</v>
      </c>
      <c r="G28" s="22" t="s">
        <v>24</v>
      </c>
      <c r="H28" s="23" t="str">
        <f t="shared" si="0"/>
        <v>一致</v>
      </c>
      <c r="I28" s="25" t="s">
        <v>124</v>
      </c>
      <c r="J28" s="25" t="s">
        <v>139</v>
      </c>
    </row>
    <row r="29" spans="1:10" ht="42" customHeight="1">
      <c r="A29" s="19" t="s">
        <v>22</v>
      </c>
      <c r="B29" s="20" t="s">
        <v>140</v>
      </c>
      <c r="C29" s="21" t="s">
        <v>113</v>
      </c>
      <c r="D29" s="21" t="s">
        <v>141</v>
      </c>
      <c r="E29" s="21" t="s">
        <v>142</v>
      </c>
      <c r="F29" s="12" t="s">
        <v>68</v>
      </c>
      <c r="G29" s="22" t="s">
        <v>23</v>
      </c>
      <c r="H29" s="23" t="str">
        <f t="shared" si="0"/>
        <v>已改</v>
      </c>
      <c r="I29" s="21" t="s">
        <v>128</v>
      </c>
      <c r="J29" s="21"/>
    </row>
    <row r="30" spans="1:10" ht="42" customHeight="1">
      <c r="A30" s="19" t="s">
        <v>24</v>
      </c>
      <c r="B30" s="24" t="s">
        <v>143</v>
      </c>
      <c r="C30" s="25" t="s">
        <v>113</v>
      </c>
      <c r="D30" s="25" t="s">
        <v>144</v>
      </c>
      <c r="E30" s="25" t="s">
        <v>145</v>
      </c>
      <c r="F30" s="15" t="s">
        <v>63</v>
      </c>
      <c r="G30" s="22" t="s">
        <v>24</v>
      </c>
      <c r="H30" s="23" t="str">
        <f t="shared" si="0"/>
        <v>一致</v>
      </c>
      <c r="I30" s="25" t="s">
        <v>124</v>
      </c>
      <c r="J30" s="25"/>
    </row>
    <row r="31" spans="1:10" ht="42" customHeight="1">
      <c r="A31" s="19" t="s">
        <v>22</v>
      </c>
      <c r="B31" s="20" t="s">
        <v>146</v>
      </c>
      <c r="C31" s="21" t="s">
        <v>147</v>
      </c>
      <c r="D31" s="21" t="s">
        <v>148</v>
      </c>
      <c r="E31" s="21" t="s">
        <v>149</v>
      </c>
      <c r="F31" s="12" t="s">
        <v>43</v>
      </c>
      <c r="G31" s="22" t="s">
        <v>22</v>
      </c>
      <c r="H31" s="23" t="str">
        <f t="shared" si="0"/>
        <v>一致</v>
      </c>
      <c r="I31" s="21" t="s">
        <v>48</v>
      </c>
      <c r="J31" s="21"/>
    </row>
    <row r="32" spans="1:10" ht="42" customHeight="1">
      <c r="A32" s="19" t="s">
        <v>22</v>
      </c>
      <c r="B32" s="24" t="s">
        <v>150</v>
      </c>
      <c r="C32" s="25" t="s">
        <v>147</v>
      </c>
      <c r="D32" s="25" t="s">
        <v>151</v>
      </c>
      <c r="E32" s="25" t="s">
        <v>152</v>
      </c>
      <c r="F32" s="15" t="s">
        <v>68</v>
      </c>
      <c r="G32" s="22" t="s">
        <v>23</v>
      </c>
      <c r="H32" s="23" t="str">
        <f t="shared" si="0"/>
        <v>已改</v>
      </c>
      <c r="I32" s="25" t="s">
        <v>48</v>
      </c>
      <c r="J32" s="25" t="s">
        <v>153</v>
      </c>
    </row>
    <row r="33" spans="1:10" ht="42" customHeight="1">
      <c r="A33" s="19" t="s">
        <v>22</v>
      </c>
      <c r="B33" s="20" t="s">
        <v>154</v>
      </c>
      <c r="C33" s="21" t="s">
        <v>147</v>
      </c>
      <c r="D33" s="21" t="s">
        <v>155</v>
      </c>
      <c r="E33" s="21" t="s">
        <v>156</v>
      </c>
      <c r="F33" s="12" t="s">
        <v>43</v>
      </c>
      <c r="G33" s="22" t="s">
        <v>22</v>
      </c>
      <c r="H33" s="23" t="str">
        <f t="shared" si="0"/>
        <v>一致</v>
      </c>
      <c r="I33" s="21" t="s">
        <v>48</v>
      </c>
      <c r="J33" s="21"/>
    </row>
    <row r="34" spans="1:10" ht="42" customHeight="1">
      <c r="A34" s="19" t="s">
        <v>22</v>
      </c>
      <c r="B34" s="24" t="s">
        <v>157</v>
      </c>
      <c r="C34" s="25" t="s">
        <v>147</v>
      </c>
      <c r="D34" s="25" t="s">
        <v>158</v>
      </c>
      <c r="E34" s="25" t="s">
        <v>159</v>
      </c>
      <c r="F34" s="15" t="s">
        <v>43</v>
      </c>
      <c r="G34" s="22" t="s">
        <v>22</v>
      </c>
      <c r="H34" s="23" t="str">
        <f t="shared" si="0"/>
        <v>一致</v>
      </c>
      <c r="I34" s="25" t="s">
        <v>75</v>
      </c>
      <c r="J34" s="25"/>
    </row>
    <row r="35" spans="1:10" ht="42" customHeight="1">
      <c r="A35" s="19" t="s">
        <v>22</v>
      </c>
      <c r="B35" s="20" t="s">
        <v>160</v>
      </c>
      <c r="C35" s="21" t="s">
        <v>147</v>
      </c>
      <c r="D35" s="21" t="s">
        <v>161</v>
      </c>
      <c r="E35" s="21" t="s">
        <v>162</v>
      </c>
      <c r="F35" s="12" t="s">
        <v>68</v>
      </c>
      <c r="G35" s="22" t="s">
        <v>23</v>
      </c>
      <c r="H35" s="23" t="str">
        <f t="shared" si="0"/>
        <v>已改</v>
      </c>
      <c r="I35" s="21" t="s">
        <v>128</v>
      </c>
      <c r="J35" s="21"/>
    </row>
    <row r="36" spans="1:10" ht="42" customHeight="1">
      <c r="A36" s="19" t="s">
        <v>22</v>
      </c>
      <c r="B36" s="24" t="s">
        <v>163</v>
      </c>
      <c r="C36" s="21" t="s">
        <v>147</v>
      </c>
      <c r="D36" s="25" t="s">
        <v>164</v>
      </c>
      <c r="E36" s="25" t="s">
        <v>165</v>
      </c>
      <c r="F36" s="15" t="s">
        <v>68</v>
      </c>
      <c r="G36" s="22" t="s">
        <v>23</v>
      </c>
      <c r="H36" s="23" t="str">
        <f t="shared" si="0"/>
        <v>已改</v>
      </c>
      <c r="I36" s="25" t="s">
        <v>83</v>
      </c>
      <c r="J36" s="25"/>
    </row>
    <row r="37" spans="1:10" ht="42" customHeight="1">
      <c r="A37" s="19" t="s">
        <v>22</v>
      </c>
      <c r="B37" s="20" t="s">
        <v>166</v>
      </c>
      <c r="C37" s="21" t="s">
        <v>167</v>
      </c>
      <c r="D37" s="21" t="s">
        <v>168</v>
      </c>
      <c r="E37" s="21" t="s">
        <v>169</v>
      </c>
      <c r="F37" s="12" t="s">
        <v>43</v>
      </c>
      <c r="G37" s="22" t="s">
        <v>22</v>
      </c>
      <c r="H37" s="23" t="str">
        <f t="shared" ref="H37:H68" si="1">IF(A37="","未勾选",IF(A37=G37,"一致","已改"))</f>
        <v>一致</v>
      </c>
      <c r="I37" s="21" t="s">
        <v>75</v>
      </c>
      <c r="J37" s="21"/>
    </row>
    <row r="38" spans="1:10" ht="42" customHeight="1">
      <c r="A38" s="19" t="s">
        <v>22</v>
      </c>
      <c r="B38" s="24" t="s">
        <v>170</v>
      </c>
      <c r="C38" s="25" t="s">
        <v>167</v>
      </c>
      <c r="D38" s="25" t="s">
        <v>171</v>
      </c>
      <c r="E38" s="25" t="s">
        <v>172</v>
      </c>
      <c r="F38" s="15" t="s">
        <v>43</v>
      </c>
      <c r="G38" s="22" t="s">
        <v>22</v>
      </c>
      <c r="H38" s="23" t="str">
        <f t="shared" si="1"/>
        <v>一致</v>
      </c>
      <c r="I38" s="25" t="s">
        <v>75</v>
      </c>
      <c r="J38" s="25"/>
    </row>
    <row r="39" spans="1:10" ht="42" customHeight="1">
      <c r="A39" s="19" t="s">
        <v>22</v>
      </c>
      <c r="B39" s="20" t="s">
        <v>173</v>
      </c>
      <c r="C39" s="21" t="s">
        <v>167</v>
      </c>
      <c r="D39" s="21" t="s">
        <v>174</v>
      </c>
      <c r="E39" s="21" t="s">
        <v>175</v>
      </c>
      <c r="F39" s="12" t="s">
        <v>68</v>
      </c>
      <c r="G39" s="22" t="s">
        <v>23</v>
      </c>
      <c r="H39" s="23" t="str">
        <f t="shared" si="1"/>
        <v>已改</v>
      </c>
      <c r="I39" s="21" t="s">
        <v>83</v>
      </c>
      <c r="J39" s="21"/>
    </row>
    <row r="40" spans="1:10" ht="42" customHeight="1">
      <c r="A40" s="19" t="s">
        <v>22</v>
      </c>
      <c r="B40" s="24" t="s">
        <v>176</v>
      </c>
      <c r="C40" s="25" t="s">
        <v>167</v>
      </c>
      <c r="D40" s="25" t="s">
        <v>177</v>
      </c>
      <c r="E40" s="25" t="s">
        <v>178</v>
      </c>
      <c r="F40" s="15" t="s">
        <v>43</v>
      </c>
      <c r="G40" s="22" t="s">
        <v>22</v>
      </c>
      <c r="H40" s="23" t="str">
        <f t="shared" si="1"/>
        <v>一致</v>
      </c>
      <c r="I40" s="25" t="s">
        <v>128</v>
      </c>
      <c r="J40" s="25"/>
    </row>
    <row r="41" spans="1:10" ht="42" customHeight="1">
      <c r="A41" s="19" t="s">
        <v>22</v>
      </c>
      <c r="B41" s="20" t="s">
        <v>179</v>
      </c>
      <c r="C41" s="21" t="s">
        <v>167</v>
      </c>
      <c r="D41" s="21" t="s">
        <v>180</v>
      </c>
      <c r="E41" s="21" t="s">
        <v>181</v>
      </c>
      <c r="F41" s="12" t="s">
        <v>43</v>
      </c>
      <c r="G41" s="22" t="s">
        <v>22</v>
      </c>
      <c r="H41" s="23" t="str">
        <f t="shared" si="1"/>
        <v>一致</v>
      </c>
      <c r="I41" s="21" t="s">
        <v>182</v>
      </c>
      <c r="J41" s="21"/>
    </row>
    <row r="42" spans="1:10" ht="42" customHeight="1">
      <c r="A42" s="19" t="s">
        <v>22</v>
      </c>
      <c r="B42" s="24" t="s">
        <v>183</v>
      </c>
      <c r="C42" s="21" t="s">
        <v>167</v>
      </c>
      <c r="D42" s="25" t="s">
        <v>184</v>
      </c>
      <c r="E42" s="25" t="s">
        <v>185</v>
      </c>
      <c r="F42" s="15" t="s">
        <v>68</v>
      </c>
      <c r="G42" s="22" t="s">
        <v>23</v>
      </c>
      <c r="H42" s="23" t="str">
        <f t="shared" si="1"/>
        <v>已改</v>
      </c>
      <c r="I42" s="25" t="s">
        <v>58</v>
      </c>
      <c r="J42" s="25"/>
    </row>
    <row r="43" spans="1:10" ht="42" customHeight="1">
      <c r="A43" s="19" t="s">
        <v>22</v>
      </c>
      <c r="B43" s="20" t="s">
        <v>186</v>
      </c>
      <c r="C43" s="21" t="s">
        <v>187</v>
      </c>
      <c r="D43" s="21" t="s">
        <v>188</v>
      </c>
      <c r="E43" s="21" t="s">
        <v>189</v>
      </c>
      <c r="F43" s="12" t="s">
        <v>43</v>
      </c>
      <c r="G43" s="22" t="s">
        <v>22</v>
      </c>
      <c r="H43" s="23" t="str">
        <f t="shared" si="1"/>
        <v>一致</v>
      </c>
      <c r="I43" s="21" t="s">
        <v>58</v>
      </c>
      <c r="J43" s="21"/>
    </row>
    <row r="44" spans="1:10" ht="42" customHeight="1">
      <c r="A44" s="19" t="s">
        <v>22</v>
      </c>
      <c r="B44" s="24" t="s">
        <v>190</v>
      </c>
      <c r="C44" s="25" t="s">
        <v>187</v>
      </c>
      <c r="D44" s="25" t="s">
        <v>191</v>
      </c>
      <c r="E44" s="25" t="s">
        <v>192</v>
      </c>
      <c r="F44" s="15" t="s">
        <v>43</v>
      </c>
      <c r="G44" s="22" t="s">
        <v>22</v>
      </c>
      <c r="H44" s="23" t="str">
        <f t="shared" si="1"/>
        <v>一致</v>
      </c>
      <c r="I44" s="25" t="s">
        <v>75</v>
      </c>
      <c r="J44" s="25"/>
    </row>
    <row r="45" spans="1:10" ht="42" customHeight="1">
      <c r="A45" s="19" t="s">
        <v>22</v>
      </c>
      <c r="B45" s="20" t="s">
        <v>193</v>
      </c>
      <c r="C45" s="21" t="s">
        <v>187</v>
      </c>
      <c r="D45" s="21" t="s">
        <v>194</v>
      </c>
      <c r="E45" s="21" t="s">
        <v>195</v>
      </c>
      <c r="F45" s="12" t="s">
        <v>68</v>
      </c>
      <c r="G45" s="22" t="s">
        <v>23</v>
      </c>
      <c r="H45" s="23" t="str">
        <f t="shared" si="1"/>
        <v>已改</v>
      </c>
      <c r="I45" s="21" t="s">
        <v>58</v>
      </c>
      <c r="J45" s="21"/>
    </row>
    <row r="46" spans="1:10" ht="42" customHeight="1">
      <c r="A46" s="19" t="s">
        <v>24</v>
      </c>
      <c r="B46" s="24" t="s">
        <v>196</v>
      </c>
      <c r="C46" s="25" t="s">
        <v>187</v>
      </c>
      <c r="D46" s="25" t="s">
        <v>197</v>
      </c>
      <c r="E46" s="25" t="s">
        <v>153</v>
      </c>
      <c r="F46" s="15" t="s">
        <v>63</v>
      </c>
      <c r="G46" s="22" t="s">
        <v>24</v>
      </c>
      <c r="H46" s="23" t="str">
        <f t="shared" si="1"/>
        <v>一致</v>
      </c>
      <c r="I46" s="25" t="s">
        <v>58</v>
      </c>
      <c r="J46" s="25"/>
    </row>
    <row r="47" spans="1:10" ht="42" customHeight="1">
      <c r="A47" s="19" t="s">
        <v>24</v>
      </c>
      <c r="B47" s="20" t="s">
        <v>198</v>
      </c>
      <c r="C47" s="26" t="s">
        <v>187</v>
      </c>
      <c r="D47" s="26" t="s">
        <v>199</v>
      </c>
      <c r="E47" s="26" t="s">
        <v>110</v>
      </c>
      <c r="F47" s="12" t="s">
        <v>63</v>
      </c>
      <c r="G47" s="22" t="s">
        <v>24</v>
      </c>
      <c r="H47" s="23" t="str">
        <f t="shared" si="1"/>
        <v>一致</v>
      </c>
      <c r="I47" s="21" t="s">
        <v>69</v>
      </c>
      <c r="J47" s="21"/>
    </row>
    <row r="48" spans="1:10" ht="42" customHeight="1">
      <c r="A48" s="19" t="s">
        <v>22</v>
      </c>
      <c r="B48" s="24" t="s">
        <v>200</v>
      </c>
      <c r="C48" s="25" t="s">
        <v>201</v>
      </c>
      <c r="D48" s="25" t="s">
        <v>202</v>
      </c>
      <c r="E48" s="25" t="s">
        <v>203</v>
      </c>
      <c r="F48" s="15" t="s">
        <v>43</v>
      </c>
      <c r="G48" s="22" t="s">
        <v>22</v>
      </c>
      <c r="H48" s="23" t="str">
        <f t="shared" si="1"/>
        <v>一致</v>
      </c>
      <c r="I48" s="25" t="s">
        <v>204</v>
      </c>
      <c r="J48" s="25"/>
    </row>
    <row r="49" spans="1:10" ht="42" customHeight="1">
      <c r="A49" s="19" t="s">
        <v>24</v>
      </c>
      <c r="B49" s="20" t="s">
        <v>205</v>
      </c>
      <c r="C49" s="21" t="s">
        <v>201</v>
      </c>
      <c r="D49" s="21" t="s">
        <v>206</v>
      </c>
      <c r="E49" s="21" t="s">
        <v>207</v>
      </c>
      <c r="F49" s="12" t="s">
        <v>68</v>
      </c>
      <c r="G49" s="22" t="s">
        <v>23</v>
      </c>
      <c r="H49" s="23" t="str">
        <f t="shared" si="1"/>
        <v>已改</v>
      </c>
      <c r="I49" s="21" t="s">
        <v>204</v>
      </c>
      <c r="J49" s="21"/>
    </row>
    <row r="50" spans="1:10" ht="42" customHeight="1">
      <c r="A50" s="19" t="s">
        <v>22</v>
      </c>
      <c r="B50" s="24" t="s">
        <v>208</v>
      </c>
      <c r="C50" s="25" t="s">
        <v>201</v>
      </c>
      <c r="D50" s="25" t="s">
        <v>209</v>
      </c>
      <c r="E50" s="25" t="s">
        <v>210</v>
      </c>
      <c r="F50" s="15" t="s">
        <v>211</v>
      </c>
      <c r="G50" s="22" t="s">
        <v>23</v>
      </c>
      <c r="H50" s="23" t="str">
        <f t="shared" si="1"/>
        <v>已改</v>
      </c>
      <c r="I50" s="25" t="s">
        <v>204</v>
      </c>
      <c r="J50" s="25"/>
    </row>
    <row r="51" spans="1:10" ht="42" customHeight="1">
      <c r="A51" s="19" t="s">
        <v>22</v>
      </c>
      <c r="B51" s="20" t="s">
        <v>212</v>
      </c>
      <c r="C51" s="21" t="s">
        <v>201</v>
      </c>
      <c r="D51" s="21" t="s">
        <v>213</v>
      </c>
      <c r="E51" s="21" t="s">
        <v>214</v>
      </c>
      <c r="F51" s="12" t="s">
        <v>211</v>
      </c>
      <c r="G51" s="22" t="s">
        <v>23</v>
      </c>
      <c r="H51" s="23" t="str">
        <f t="shared" si="1"/>
        <v>已改</v>
      </c>
      <c r="I51" s="21" t="s">
        <v>215</v>
      </c>
      <c r="J51" s="21"/>
    </row>
    <row r="52" spans="1:10" ht="42" customHeight="1">
      <c r="A52" s="19" t="s">
        <v>24</v>
      </c>
      <c r="B52" s="24" t="s">
        <v>216</v>
      </c>
      <c r="C52" s="25" t="s">
        <v>201</v>
      </c>
      <c r="D52" s="25" t="s">
        <v>217</v>
      </c>
      <c r="E52" s="25" t="s">
        <v>218</v>
      </c>
      <c r="F52" s="15" t="s">
        <v>63</v>
      </c>
      <c r="G52" s="22" t="s">
        <v>24</v>
      </c>
      <c r="H52" s="23" t="str">
        <f t="shared" si="1"/>
        <v>一致</v>
      </c>
      <c r="I52" s="25" t="s">
        <v>69</v>
      </c>
      <c r="J52" s="25"/>
    </row>
    <row r="53" spans="1:10" ht="42" customHeight="1">
      <c r="A53" s="19" t="s">
        <v>22</v>
      </c>
      <c r="B53" s="20" t="s">
        <v>219</v>
      </c>
      <c r="C53" s="21" t="s">
        <v>201</v>
      </c>
      <c r="D53" s="21" t="s">
        <v>220</v>
      </c>
      <c r="E53" s="21" t="s">
        <v>221</v>
      </c>
      <c r="F53" s="12" t="s">
        <v>63</v>
      </c>
      <c r="G53" s="22" t="s">
        <v>24</v>
      </c>
      <c r="H53" s="23" t="str">
        <f t="shared" si="1"/>
        <v>已改</v>
      </c>
      <c r="I53" s="21" t="s">
        <v>69</v>
      </c>
      <c r="J53" s="21"/>
    </row>
    <row r="54" spans="1:10" ht="42" customHeight="1">
      <c r="A54" s="19" t="s">
        <v>24</v>
      </c>
      <c r="B54" s="24" t="s">
        <v>222</v>
      </c>
      <c r="C54" s="25" t="s">
        <v>201</v>
      </c>
      <c r="D54" s="25" t="s">
        <v>223</v>
      </c>
      <c r="E54" s="25" t="s">
        <v>224</v>
      </c>
      <c r="F54" s="15" t="s">
        <v>63</v>
      </c>
      <c r="G54" s="22" t="s">
        <v>24</v>
      </c>
      <c r="H54" s="23" t="str">
        <f t="shared" si="1"/>
        <v>一致</v>
      </c>
      <c r="I54" s="25" t="s">
        <v>69</v>
      </c>
      <c r="J54" s="25"/>
    </row>
    <row r="55" spans="1:10" ht="42" customHeight="1">
      <c r="A55" s="19" t="s">
        <v>24</v>
      </c>
      <c r="B55" s="20" t="s">
        <v>225</v>
      </c>
      <c r="C55" s="21" t="s">
        <v>201</v>
      </c>
      <c r="D55" s="21" t="s">
        <v>226</v>
      </c>
      <c r="E55" s="21" t="s">
        <v>227</v>
      </c>
      <c r="F55" s="12" t="s">
        <v>138</v>
      </c>
      <c r="G55" s="22" t="s">
        <v>24</v>
      </c>
      <c r="H55" s="23" t="str">
        <f t="shared" si="1"/>
        <v>一致</v>
      </c>
      <c r="I55" s="21" t="s">
        <v>204</v>
      </c>
      <c r="J55" s="21"/>
    </row>
    <row r="56" spans="1:10" ht="42" customHeight="1">
      <c r="A56" s="19" t="s">
        <v>22</v>
      </c>
      <c r="B56" s="24" t="s">
        <v>228</v>
      </c>
      <c r="C56" s="25" t="s">
        <v>229</v>
      </c>
      <c r="D56" s="25" t="s">
        <v>230</v>
      </c>
      <c r="E56" s="25" t="s">
        <v>231</v>
      </c>
      <c r="F56" s="15" t="s">
        <v>43</v>
      </c>
      <c r="G56" s="22" t="s">
        <v>22</v>
      </c>
      <c r="H56" s="23" t="str">
        <f t="shared" si="1"/>
        <v>一致</v>
      </c>
      <c r="I56" s="25" t="s">
        <v>128</v>
      </c>
      <c r="J56" s="25"/>
    </row>
    <row r="57" spans="1:10" ht="42" customHeight="1">
      <c r="A57" s="19" t="s">
        <v>22</v>
      </c>
      <c r="B57" s="20" t="s">
        <v>232</v>
      </c>
      <c r="C57" s="21" t="s">
        <v>229</v>
      </c>
      <c r="D57" s="21" t="s">
        <v>233</v>
      </c>
      <c r="E57" s="21" t="s">
        <v>234</v>
      </c>
      <c r="F57" s="12" t="s">
        <v>43</v>
      </c>
      <c r="G57" s="22" t="s">
        <v>22</v>
      </c>
      <c r="H57" s="23" t="str">
        <f t="shared" si="1"/>
        <v>一致</v>
      </c>
      <c r="I57" s="21" t="s">
        <v>83</v>
      </c>
      <c r="J57" s="21"/>
    </row>
    <row r="58" spans="1:10" ht="42" customHeight="1">
      <c r="A58" s="19" t="s">
        <v>22</v>
      </c>
      <c r="B58" s="24" t="s">
        <v>235</v>
      </c>
      <c r="C58" s="25" t="s">
        <v>229</v>
      </c>
      <c r="D58" s="25" t="s">
        <v>236</v>
      </c>
      <c r="E58" s="25" t="s">
        <v>237</v>
      </c>
      <c r="F58" s="15" t="s">
        <v>43</v>
      </c>
      <c r="G58" s="22" t="s">
        <v>22</v>
      </c>
      <c r="H58" s="23" t="str">
        <f t="shared" si="1"/>
        <v>一致</v>
      </c>
      <c r="I58" s="25" t="s">
        <v>182</v>
      </c>
      <c r="J58" s="25"/>
    </row>
    <row r="59" spans="1:10" ht="42" customHeight="1">
      <c r="A59" s="19" t="s">
        <v>24</v>
      </c>
      <c r="B59" s="20" t="s">
        <v>238</v>
      </c>
      <c r="C59" s="21" t="s">
        <v>229</v>
      </c>
      <c r="D59" s="21" t="s">
        <v>239</v>
      </c>
      <c r="E59" s="21" t="s">
        <v>240</v>
      </c>
      <c r="F59" s="12" t="s">
        <v>57</v>
      </c>
      <c r="G59" s="22" t="s">
        <v>23</v>
      </c>
      <c r="H59" s="23" t="str">
        <f t="shared" si="1"/>
        <v>已改</v>
      </c>
      <c r="I59" s="21" t="s">
        <v>83</v>
      </c>
      <c r="J59" s="21"/>
    </row>
    <row r="60" spans="1:10" ht="42" customHeight="1">
      <c r="A60" s="19" t="s">
        <v>24</v>
      </c>
      <c r="B60" s="24" t="s">
        <v>241</v>
      </c>
      <c r="C60" s="25" t="s">
        <v>229</v>
      </c>
      <c r="D60" s="25" t="s">
        <v>242</v>
      </c>
      <c r="E60" s="25" t="s">
        <v>243</v>
      </c>
      <c r="F60" s="15" t="s">
        <v>68</v>
      </c>
      <c r="G60" s="22" t="s">
        <v>23</v>
      </c>
      <c r="H60" s="23" t="str">
        <f t="shared" si="1"/>
        <v>已改</v>
      </c>
      <c r="I60" s="25" t="s">
        <v>182</v>
      </c>
      <c r="J60" s="25"/>
    </row>
    <row r="61" spans="1:10" ht="42" customHeight="1">
      <c r="A61" s="19" t="s">
        <v>24</v>
      </c>
      <c r="B61" s="20" t="s">
        <v>244</v>
      </c>
      <c r="C61" s="21" t="s">
        <v>229</v>
      </c>
      <c r="D61" s="21" t="s">
        <v>245</v>
      </c>
      <c r="E61" s="21" t="s">
        <v>246</v>
      </c>
      <c r="F61" s="12" t="s">
        <v>68</v>
      </c>
      <c r="G61" s="22" t="s">
        <v>23</v>
      </c>
      <c r="H61" s="23" t="str">
        <f t="shared" si="1"/>
        <v>已改</v>
      </c>
      <c r="I61" s="21" t="s">
        <v>247</v>
      </c>
      <c r="J61" s="21" t="s">
        <v>248</v>
      </c>
    </row>
    <row r="62" spans="1:10" ht="42" customHeight="1">
      <c r="A62" s="19" t="s">
        <v>24</v>
      </c>
      <c r="B62" s="24" t="s">
        <v>249</v>
      </c>
      <c r="C62" s="25" t="s">
        <v>229</v>
      </c>
      <c r="D62" s="25" t="s">
        <v>250</v>
      </c>
      <c r="E62" s="25" t="s">
        <v>251</v>
      </c>
      <c r="F62" s="15" t="s">
        <v>68</v>
      </c>
      <c r="G62" s="22" t="s">
        <v>23</v>
      </c>
      <c r="H62" s="23" t="str">
        <f t="shared" si="1"/>
        <v>已改</v>
      </c>
      <c r="I62" s="25" t="s">
        <v>182</v>
      </c>
      <c r="J62" s="25"/>
    </row>
    <row r="63" spans="1:10" ht="42" customHeight="1">
      <c r="A63" s="19" t="s">
        <v>22</v>
      </c>
      <c r="B63" s="20" t="s">
        <v>252</v>
      </c>
      <c r="C63" s="21" t="s">
        <v>253</v>
      </c>
      <c r="D63" s="21" t="s">
        <v>254</v>
      </c>
      <c r="E63" s="21" t="s">
        <v>255</v>
      </c>
      <c r="F63" s="12" t="s">
        <v>43</v>
      </c>
      <c r="G63" s="22" t="s">
        <v>22</v>
      </c>
      <c r="H63" s="23" t="str">
        <f t="shared" si="1"/>
        <v>一致</v>
      </c>
      <c r="I63" s="21" t="s">
        <v>128</v>
      </c>
      <c r="J63" s="21"/>
    </row>
    <row r="64" spans="1:10" ht="42" customHeight="1">
      <c r="A64" s="19" t="s">
        <v>22</v>
      </c>
      <c r="B64" s="24" t="s">
        <v>256</v>
      </c>
      <c r="C64" s="25" t="s">
        <v>253</v>
      </c>
      <c r="D64" s="25" t="s">
        <v>257</v>
      </c>
      <c r="E64" s="25" t="s">
        <v>258</v>
      </c>
      <c r="F64" s="15" t="s">
        <v>43</v>
      </c>
      <c r="G64" s="22" t="s">
        <v>22</v>
      </c>
      <c r="H64" s="23" t="str">
        <f t="shared" si="1"/>
        <v>一致</v>
      </c>
      <c r="I64" s="25" t="s">
        <v>75</v>
      </c>
      <c r="J64" s="25"/>
    </row>
    <row r="65" spans="1:10" ht="42" customHeight="1">
      <c r="A65" s="19" t="s">
        <v>22</v>
      </c>
      <c r="B65" s="20" t="s">
        <v>259</v>
      </c>
      <c r="C65" s="21" t="s">
        <v>253</v>
      </c>
      <c r="D65" s="21" t="s">
        <v>260</v>
      </c>
      <c r="E65" s="21" t="s">
        <v>261</v>
      </c>
      <c r="F65" s="12" t="s">
        <v>43</v>
      </c>
      <c r="G65" s="22" t="s">
        <v>22</v>
      </c>
      <c r="H65" s="23" t="str">
        <f t="shared" si="1"/>
        <v>一致</v>
      </c>
      <c r="I65" s="21" t="s">
        <v>262</v>
      </c>
      <c r="J65" s="21"/>
    </row>
    <row r="66" spans="1:10" ht="42" customHeight="1">
      <c r="A66" s="19" t="s">
        <v>22</v>
      </c>
      <c r="B66" s="24" t="s">
        <v>263</v>
      </c>
      <c r="C66" s="25" t="s">
        <v>253</v>
      </c>
      <c r="D66" s="25" t="s">
        <v>264</v>
      </c>
      <c r="E66" s="25" t="s">
        <v>265</v>
      </c>
      <c r="F66" s="15" t="s">
        <v>68</v>
      </c>
      <c r="G66" s="22" t="s">
        <v>23</v>
      </c>
      <c r="H66" s="23" t="str">
        <f t="shared" si="1"/>
        <v>已改</v>
      </c>
      <c r="I66" s="25" t="s">
        <v>44</v>
      </c>
      <c r="J66" s="25"/>
    </row>
    <row r="67" spans="1:10" ht="42" customHeight="1">
      <c r="A67" s="19" t="s">
        <v>22</v>
      </c>
      <c r="B67" s="20" t="s">
        <v>266</v>
      </c>
      <c r="C67" s="21" t="s">
        <v>253</v>
      </c>
      <c r="D67" s="21" t="s">
        <v>267</v>
      </c>
      <c r="E67" s="21" t="s">
        <v>268</v>
      </c>
      <c r="F67" s="12" t="s">
        <v>68</v>
      </c>
      <c r="G67" s="22" t="s">
        <v>23</v>
      </c>
      <c r="H67" s="23" t="str">
        <f t="shared" si="1"/>
        <v>已改</v>
      </c>
      <c r="I67" s="21" t="s">
        <v>269</v>
      </c>
      <c r="J67" s="21"/>
    </row>
    <row r="68" spans="1:10" ht="42" customHeight="1">
      <c r="A68" s="19" t="s">
        <v>24</v>
      </c>
      <c r="B68" s="24" t="s">
        <v>270</v>
      </c>
      <c r="C68" s="25" t="s">
        <v>253</v>
      </c>
      <c r="D68" s="25" t="s">
        <v>271</v>
      </c>
      <c r="E68" s="25" t="s">
        <v>272</v>
      </c>
      <c r="F68" s="15" t="s">
        <v>63</v>
      </c>
      <c r="G68" s="22" t="s">
        <v>24</v>
      </c>
      <c r="H68" s="23" t="str">
        <f t="shared" si="1"/>
        <v>一致</v>
      </c>
      <c r="I68" s="25" t="s">
        <v>58</v>
      </c>
      <c r="J68" s="25"/>
    </row>
    <row r="69" spans="1:10" ht="42" customHeight="1">
      <c r="A69" s="19" t="s">
        <v>24</v>
      </c>
      <c r="B69" s="20" t="s">
        <v>273</v>
      </c>
      <c r="C69" s="21" t="s">
        <v>253</v>
      </c>
      <c r="D69" s="21" t="s">
        <v>274</v>
      </c>
      <c r="E69" s="21" t="s">
        <v>275</v>
      </c>
      <c r="F69" s="12" t="s">
        <v>63</v>
      </c>
      <c r="G69" s="22" t="s">
        <v>24</v>
      </c>
      <c r="H69" s="23" t="str">
        <f t="shared" ref="H69:H100" si="2">IF(A69="","未勾选",IF(A69=G69,"一致","已改"))</f>
        <v>一致</v>
      </c>
      <c r="I69" s="21" t="s">
        <v>83</v>
      </c>
      <c r="J69" s="21"/>
    </row>
    <row r="70" spans="1:10" ht="42" customHeight="1">
      <c r="A70" s="19" t="s">
        <v>24</v>
      </c>
      <c r="B70" s="24" t="s">
        <v>276</v>
      </c>
      <c r="C70" s="25" t="s">
        <v>277</v>
      </c>
      <c r="D70" s="25" t="s">
        <v>278</v>
      </c>
      <c r="E70" s="25" t="s">
        <v>279</v>
      </c>
      <c r="F70" s="15" t="s">
        <v>57</v>
      </c>
      <c r="G70" s="22" t="s">
        <v>23</v>
      </c>
      <c r="H70" s="23" t="str">
        <f t="shared" si="2"/>
        <v>已改</v>
      </c>
      <c r="I70" s="25" t="s">
        <v>215</v>
      </c>
      <c r="J70" s="25" t="s">
        <v>280</v>
      </c>
    </row>
    <row r="71" spans="1:10" ht="42" customHeight="1">
      <c r="A71" s="19" t="s">
        <v>24</v>
      </c>
      <c r="B71" s="20" t="s">
        <v>281</v>
      </c>
      <c r="C71" s="21" t="s">
        <v>277</v>
      </c>
      <c r="D71" s="21" t="s">
        <v>282</v>
      </c>
      <c r="E71" s="21" t="s">
        <v>283</v>
      </c>
      <c r="F71" s="12" t="s">
        <v>68</v>
      </c>
      <c r="G71" s="22" t="s">
        <v>23</v>
      </c>
      <c r="H71" s="23" t="str">
        <f t="shared" si="2"/>
        <v>已改</v>
      </c>
      <c r="I71" s="21" t="s">
        <v>83</v>
      </c>
      <c r="J71" s="21"/>
    </row>
    <row r="72" spans="1:10" ht="42" customHeight="1">
      <c r="A72" s="19" t="s">
        <v>24</v>
      </c>
      <c r="B72" s="24" t="s">
        <v>284</v>
      </c>
      <c r="C72" s="25" t="s">
        <v>277</v>
      </c>
      <c r="D72" s="25" t="s">
        <v>285</v>
      </c>
      <c r="E72" s="25" t="s">
        <v>286</v>
      </c>
      <c r="F72" s="15" t="s">
        <v>68</v>
      </c>
      <c r="G72" s="22" t="s">
        <v>23</v>
      </c>
      <c r="H72" s="23" t="str">
        <f t="shared" si="2"/>
        <v>已改</v>
      </c>
      <c r="I72" s="25" t="s">
        <v>100</v>
      </c>
      <c r="J72" s="25"/>
    </row>
    <row r="73" spans="1:10" ht="42" customHeight="1">
      <c r="A73" s="19" t="s">
        <v>24</v>
      </c>
      <c r="B73" s="20" t="s">
        <v>287</v>
      </c>
      <c r="C73" s="21" t="s">
        <v>277</v>
      </c>
      <c r="D73" s="21" t="s">
        <v>288</v>
      </c>
      <c r="E73" s="21" t="s">
        <v>289</v>
      </c>
      <c r="F73" s="12" t="s">
        <v>290</v>
      </c>
      <c r="G73" s="22" t="s">
        <v>23</v>
      </c>
      <c r="H73" s="23" t="str">
        <f t="shared" si="2"/>
        <v>已改</v>
      </c>
      <c r="I73" s="21" t="s">
        <v>83</v>
      </c>
      <c r="J73" s="21"/>
    </row>
    <row r="74" spans="1:10" ht="42" customHeight="1">
      <c r="A74" s="19" t="s">
        <v>24</v>
      </c>
      <c r="B74" s="24" t="s">
        <v>291</v>
      </c>
      <c r="C74" s="25" t="s">
        <v>277</v>
      </c>
      <c r="D74" s="25" t="s">
        <v>292</v>
      </c>
      <c r="E74" s="25" t="s">
        <v>293</v>
      </c>
      <c r="F74" s="15" t="s">
        <v>68</v>
      </c>
      <c r="G74" s="22" t="s">
        <v>23</v>
      </c>
      <c r="H74" s="23" t="str">
        <f t="shared" si="2"/>
        <v>已改</v>
      </c>
      <c r="I74" s="25" t="s">
        <v>204</v>
      </c>
      <c r="J74" s="25" t="s">
        <v>294</v>
      </c>
    </row>
    <row r="75" spans="1:10" ht="42" customHeight="1">
      <c r="A75" s="19" t="s">
        <v>24</v>
      </c>
      <c r="B75" s="20" t="s">
        <v>295</v>
      </c>
      <c r="C75" s="21" t="s">
        <v>277</v>
      </c>
      <c r="D75" s="21" t="s">
        <v>296</v>
      </c>
      <c r="E75" s="21" t="s">
        <v>297</v>
      </c>
      <c r="F75" s="12" t="s">
        <v>138</v>
      </c>
      <c r="G75" s="22" t="s">
        <v>24</v>
      </c>
      <c r="H75" s="23" t="str">
        <f t="shared" si="2"/>
        <v>一致</v>
      </c>
      <c r="I75" s="21" t="s">
        <v>83</v>
      </c>
      <c r="J75" s="21"/>
    </row>
    <row r="76" spans="1:10" ht="42" customHeight="1">
      <c r="A76" s="19" t="s">
        <v>22</v>
      </c>
      <c r="B76" s="24" t="s">
        <v>298</v>
      </c>
      <c r="C76" s="25" t="s">
        <v>299</v>
      </c>
      <c r="D76" s="25" t="s">
        <v>300</v>
      </c>
      <c r="E76" s="25" t="s">
        <v>301</v>
      </c>
      <c r="F76" s="15" t="s">
        <v>302</v>
      </c>
      <c r="G76" s="22" t="s">
        <v>22</v>
      </c>
      <c r="H76" s="23" t="str">
        <f t="shared" si="2"/>
        <v>一致</v>
      </c>
      <c r="I76" s="25" t="s">
        <v>204</v>
      </c>
      <c r="J76" s="25"/>
    </row>
    <row r="77" spans="1:10" ht="42" customHeight="1">
      <c r="A77" s="19" t="s">
        <v>22</v>
      </c>
      <c r="B77" s="20" t="s">
        <v>303</v>
      </c>
      <c r="C77" s="21" t="s">
        <v>299</v>
      </c>
      <c r="D77" s="21" t="s">
        <v>304</v>
      </c>
      <c r="E77" s="21" t="s">
        <v>305</v>
      </c>
      <c r="F77" s="12" t="s">
        <v>43</v>
      </c>
      <c r="G77" s="22" t="s">
        <v>22</v>
      </c>
      <c r="H77" s="23" t="str">
        <f t="shared" si="2"/>
        <v>一致</v>
      </c>
      <c r="I77" s="21" t="s">
        <v>204</v>
      </c>
      <c r="J77" s="21"/>
    </row>
    <row r="78" spans="1:10" ht="42" customHeight="1">
      <c r="A78" s="19" t="s">
        <v>22</v>
      </c>
      <c r="B78" s="24" t="s">
        <v>306</v>
      </c>
      <c r="C78" s="25" t="s">
        <v>299</v>
      </c>
      <c r="D78" s="25" t="s">
        <v>307</v>
      </c>
      <c r="E78" s="25" t="s">
        <v>308</v>
      </c>
      <c r="F78" s="15" t="s">
        <v>68</v>
      </c>
      <c r="G78" s="22" t="s">
        <v>23</v>
      </c>
      <c r="H78" s="23" t="str">
        <f t="shared" si="2"/>
        <v>已改</v>
      </c>
      <c r="I78" s="25" t="s">
        <v>100</v>
      </c>
      <c r="J78" s="25"/>
    </row>
    <row r="79" spans="1:10" ht="42" customHeight="1">
      <c r="A79" s="19" t="s">
        <v>24</v>
      </c>
      <c r="B79" s="20" t="s">
        <v>309</v>
      </c>
      <c r="C79" s="21" t="s">
        <v>299</v>
      </c>
      <c r="D79" s="21" t="s">
        <v>310</v>
      </c>
      <c r="E79" s="21" t="s">
        <v>311</v>
      </c>
      <c r="F79" s="12" t="s">
        <v>63</v>
      </c>
      <c r="G79" s="22" t="s">
        <v>24</v>
      </c>
      <c r="H79" s="23" t="str">
        <f t="shared" si="2"/>
        <v>一致</v>
      </c>
      <c r="I79" s="21" t="s">
        <v>204</v>
      </c>
      <c r="J79" s="21"/>
    </row>
    <row r="80" spans="1:10" ht="42" customHeight="1">
      <c r="A80" s="19" t="s">
        <v>24</v>
      </c>
      <c r="B80" s="24" t="s">
        <v>312</v>
      </c>
      <c r="C80" s="21" t="s">
        <v>299</v>
      </c>
      <c r="D80" s="25" t="s">
        <v>313</v>
      </c>
      <c r="E80" s="25" t="s">
        <v>79</v>
      </c>
      <c r="F80" s="15" t="s">
        <v>68</v>
      </c>
      <c r="G80" s="22" t="s">
        <v>23</v>
      </c>
      <c r="H80" s="23" t="str">
        <f t="shared" si="2"/>
        <v>已改</v>
      </c>
      <c r="I80" s="25" t="s">
        <v>204</v>
      </c>
      <c r="J80" s="25"/>
    </row>
    <row r="81" spans="1:10" ht="42" customHeight="1">
      <c r="A81" s="19" t="s">
        <v>22</v>
      </c>
      <c r="B81" s="20" t="s">
        <v>314</v>
      </c>
      <c r="C81" s="21" t="s">
        <v>315</v>
      </c>
      <c r="D81" s="21" t="s">
        <v>316</v>
      </c>
      <c r="E81" s="21" t="s">
        <v>317</v>
      </c>
      <c r="F81" s="12" t="s">
        <v>43</v>
      </c>
      <c r="G81" s="22" t="s">
        <v>22</v>
      </c>
      <c r="H81" s="23" t="str">
        <f t="shared" si="2"/>
        <v>一致</v>
      </c>
      <c r="I81" s="21" t="s">
        <v>58</v>
      </c>
      <c r="J81" s="21"/>
    </row>
    <row r="82" spans="1:10" ht="42" customHeight="1">
      <c r="A82" s="19" t="s">
        <v>22</v>
      </c>
      <c r="B82" s="24" t="s">
        <v>318</v>
      </c>
      <c r="C82" s="25" t="s">
        <v>315</v>
      </c>
      <c r="D82" s="25" t="s">
        <v>319</v>
      </c>
      <c r="E82" s="25" t="s">
        <v>320</v>
      </c>
      <c r="F82" s="15" t="s">
        <v>43</v>
      </c>
      <c r="G82" s="22" t="s">
        <v>22</v>
      </c>
      <c r="H82" s="23" t="str">
        <f t="shared" si="2"/>
        <v>一致</v>
      </c>
      <c r="I82" s="25" t="s">
        <v>128</v>
      </c>
      <c r="J82" s="25"/>
    </row>
    <row r="83" spans="1:10" ht="42" customHeight="1">
      <c r="A83" s="19" t="s">
        <v>22</v>
      </c>
      <c r="B83" s="20" t="s">
        <v>321</v>
      </c>
      <c r="C83" s="21" t="s">
        <v>315</v>
      </c>
      <c r="D83" s="21" t="s">
        <v>322</v>
      </c>
      <c r="E83" s="21" t="s">
        <v>323</v>
      </c>
      <c r="F83" s="12" t="s">
        <v>43</v>
      </c>
      <c r="G83" s="22" t="s">
        <v>22</v>
      </c>
      <c r="H83" s="23" t="str">
        <f t="shared" si="2"/>
        <v>一致</v>
      </c>
      <c r="I83" s="21" t="s">
        <v>324</v>
      </c>
      <c r="J83" s="21"/>
    </row>
    <row r="84" spans="1:10" ht="42" customHeight="1">
      <c r="A84" s="19" t="s">
        <v>22</v>
      </c>
      <c r="B84" s="24" t="s">
        <v>325</v>
      </c>
      <c r="C84" s="25" t="s">
        <v>315</v>
      </c>
      <c r="D84" s="25" t="s">
        <v>326</v>
      </c>
      <c r="E84" s="25" t="s">
        <v>327</v>
      </c>
      <c r="F84" s="15" t="s">
        <v>68</v>
      </c>
      <c r="G84" s="22" t="s">
        <v>23</v>
      </c>
      <c r="H84" s="23" t="str">
        <f t="shared" si="2"/>
        <v>已改</v>
      </c>
      <c r="I84" s="25" t="s">
        <v>48</v>
      </c>
      <c r="J84" s="25"/>
    </row>
    <row r="85" spans="1:10" ht="42" customHeight="1">
      <c r="A85" s="19" t="s">
        <v>22</v>
      </c>
      <c r="B85" s="20" t="s">
        <v>328</v>
      </c>
      <c r="C85" s="21" t="s">
        <v>315</v>
      </c>
      <c r="D85" s="21" t="s">
        <v>329</v>
      </c>
      <c r="E85" s="21" t="s">
        <v>330</v>
      </c>
      <c r="F85" s="12" t="s">
        <v>68</v>
      </c>
      <c r="G85" s="22" t="s">
        <v>23</v>
      </c>
      <c r="H85" s="23" t="str">
        <f t="shared" si="2"/>
        <v>已改</v>
      </c>
      <c r="I85" s="21" t="s">
        <v>44</v>
      </c>
      <c r="J85" s="21"/>
    </row>
    <row r="86" spans="1:10" ht="42" customHeight="1">
      <c r="A86" s="19" t="s">
        <v>24</v>
      </c>
      <c r="B86" s="24" t="s">
        <v>331</v>
      </c>
      <c r="C86" s="25" t="s">
        <v>315</v>
      </c>
      <c r="D86" s="25" t="s">
        <v>332</v>
      </c>
      <c r="E86" s="25" t="s">
        <v>333</v>
      </c>
      <c r="F86" s="15" t="s">
        <v>63</v>
      </c>
      <c r="G86" s="22" t="s">
        <v>24</v>
      </c>
      <c r="H86" s="23" t="str">
        <f t="shared" si="2"/>
        <v>一致</v>
      </c>
      <c r="I86" s="25" t="s">
        <v>44</v>
      </c>
      <c r="J86" s="25"/>
    </row>
    <row r="87" spans="1:10" ht="42" customHeight="1">
      <c r="A87" s="19" t="s">
        <v>22</v>
      </c>
      <c r="B87" s="20" t="s">
        <v>334</v>
      </c>
      <c r="C87" s="21" t="s">
        <v>335</v>
      </c>
      <c r="D87" s="21" t="s">
        <v>336</v>
      </c>
      <c r="E87" s="21" t="s">
        <v>337</v>
      </c>
      <c r="F87" s="12" t="s">
        <v>68</v>
      </c>
      <c r="G87" s="22" t="s">
        <v>23</v>
      </c>
      <c r="H87" s="23" t="str">
        <f t="shared" si="2"/>
        <v>已改</v>
      </c>
      <c r="I87" s="21" t="s">
        <v>52</v>
      </c>
      <c r="J87" s="21"/>
    </row>
    <row r="88" spans="1:10" ht="42" customHeight="1">
      <c r="A88" s="19" t="s">
        <v>24</v>
      </c>
      <c r="B88" s="24" t="s">
        <v>338</v>
      </c>
      <c r="C88" s="25" t="s">
        <v>335</v>
      </c>
      <c r="D88" s="25" t="s">
        <v>339</v>
      </c>
      <c r="E88" s="25" t="s">
        <v>340</v>
      </c>
      <c r="F88" s="15" t="s">
        <v>68</v>
      </c>
      <c r="G88" s="22" t="s">
        <v>23</v>
      </c>
      <c r="H88" s="23" t="str">
        <f t="shared" si="2"/>
        <v>已改</v>
      </c>
      <c r="I88" s="25" t="s">
        <v>52</v>
      </c>
      <c r="J88" s="25"/>
    </row>
    <row r="89" spans="1:10" ht="42" customHeight="1">
      <c r="A89" s="19" t="s">
        <v>22</v>
      </c>
      <c r="B89" s="20" t="s">
        <v>341</v>
      </c>
      <c r="C89" s="21" t="s">
        <v>335</v>
      </c>
      <c r="D89" s="21" t="s">
        <v>342</v>
      </c>
      <c r="E89" s="21" t="s">
        <v>343</v>
      </c>
      <c r="F89" s="12" t="s">
        <v>43</v>
      </c>
      <c r="G89" s="22" t="s">
        <v>22</v>
      </c>
      <c r="H89" s="23" t="str">
        <f t="shared" si="2"/>
        <v>一致</v>
      </c>
      <c r="I89" s="21" t="s">
        <v>58</v>
      </c>
      <c r="J89" s="21" t="s">
        <v>344</v>
      </c>
    </row>
    <row r="90" spans="1:10" ht="42" customHeight="1">
      <c r="A90" s="19" t="s">
        <v>24</v>
      </c>
      <c r="B90" s="24" t="s">
        <v>345</v>
      </c>
      <c r="C90" s="25" t="s">
        <v>346</v>
      </c>
      <c r="D90" s="25" t="s">
        <v>347</v>
      </c>
      <c r="E90" s="25" t="s">
        <v>348</v>
      </c>
      <c r="F90" s="15" t="s">
        <v>349</v>
      </c>
      <c r="G90" s="22" t="s">
        <v>24</v>
      </c>
      <c r="H90" s="23" t="str">
        <f t="shared" si="2"/>
        <v>一致</v>
      </c>
      <c r="I90" s="25" t="s">
        <v>100</v>
      </c>
      <c r="J90" s="25" t="s">
        <v>350</v>
      </c>
    </row>
    <row r="91" spans="1:10" ht="42" customHeight="1">
      <c r="A91" s="19" t="s">
        <v>24</v>
      </c>
      <c r="B91" s="20" t="s">
        <v>351</v>
      </c>
      <c r="C91" s="21" t="s">
        <v>346</v>
      </c>
      <c r="D91" s="21" t="s">
        <v>352</v>
      </c>
      <c r="E91" s="21" t="s">
        <v>353</v>
      </c>
      <c r="F91" s="12" t="s">
        <v>63</v>
      </c>
      <c r="G91" s="22" t="s">
        <v>24</v>
      </c>
      <c r="H91" s="23" t="str">
        <f t="shared" si="2"/>
        <v>一致</v>
      </c>
      <c r="I91" s="21" t="s">
        <v>100</v>
      </c>
      <c r="J91" s="21"/>
    </row>
    <row r="92" spans="1:10" ht="42" customHeight="1">
      <c r="A92" s="19" t="s">
        <v>24</v>
      </c>
      <c r="B92" s="24" t="s">
        <v>354</v>
      </c>
      <c r="C92" s="21" t="s">
        <v>346</v>
      </c>
      <c r="D92" s="25" t="s">
        <v>355</v>
      </c>
      <c r="E92" s="25" t="s">
        <v>356</v>
      </c>
      <c r="F92" s="15" t="s">
        <v>138</v>
      </c>
      <c r="G92" s="22" t="s">
        <v>24</v>
      </c>
      <c r="H92" s="23" t="str">
        <f t="shared" si="2"/>
        <v>一致</v>
      </c>
      <c r="I92" s="25" t="s">
        <v>52</v>
      </c>
      <c r="J92" s="25"/>
    </row>
    <row r="93" spans="1:10" ht="42" customHeight="1">
      <c r="A93" s="19" t="s">
        <v>24</v>
      </c>
      <c r="B93" s="20" t="s">
        <v>357</v>
      </c>
      <c r="C93" s="21" t="s">
        <v>358</v>
      </c>
      <c r="D93" s="21" t="s">
        <v>359</v>
      </c>
      <c r="E93" s="21" t="s">
        <v>360</v>
      </c>
      <c r="F93" s="12" t="s">
        <v>63</v>
      </c>
      <c r="G93" s="22" t="s">
        <v>24</v>
      </c>
      <c r="H93" s="23" t="str">
        <f t="shared" si="2"/>
        <v>一致</v>
      </c>
      <c r="I93" s="21" t="s">
        <v>361</v>
      </c>
      <c r="J93" s="21" t="s">
        <v>362</v>
      </c>
    </row>
    <row r="94" spans="1:10" ht="42" customHeight="1">
      <c r="A94" s="19" t="s">
        <v>22</v>
      </c>
      <c r="B94" s="24" t="s">
        <v>363</v>
      </c>
      <c r="C94" s="25" t="s">
        <v>358</v>
      </c>
      <c r="D94" s="25" t="s">
        <v>364</v>
      </c>
      <c r="E94" s="25" t="s">
        <v>365</v>
      </c>
      <c r="F94" s="15" t="s">
        <v>63</v>
      </c>
      <c r="G94" s="22" t="s">
        <v>24</v>
      </c>
      <c r="H94" s="23" t="str">
        <f t="shared" si="2"/>
        <v>已改</v>
      </c>
      <c r="I94" s="25" t="s">
        <v>44</v>
      </c>
      <c r="J94" s="25"/>
    </row>
    <row r="95" spans="1:10" ht="42" customHeight="1">
      <c r="A95" s="19" t="s">
        <v>22</v>
      </c>
      <c r="B95" s="20" t="s">
        <v>366</v>
      </c>
      <c r="C95" s="21" t="s">
        <v>367</v>
      </c>
      <c r="D95" s="21" t="s">
        <v>368</v>
      </c>
      <c r="E95" s="21" t="s">
        <v>369</v>
      </c>
      <c r="F95" s="12" t="s">
        <v>43</v>
      </c>
      <c r="G95" s="22" t="s">
        <v>22</v>
      </c>
      <c r="H95" s="23" t="str">
        <f t="shared" si="2"/>
        <v>一致</v>
      </c>
      <c r="I95" s="21" t="s">
        <v>324</v>
      </c>
      <c r="J95" s="21"/>
    </row>
    <row r="96" spans="1:10" ht="42" customHeight="1">
      <c r="A96" s="19" t="s">
        <v>22</v>
      </c>
      <c r="B96" s="24" t="s">
        <v>370</v>
      </c>
      <c r="C96" s="25" t="s">
        <v>367</v>
      </c>
      <c r="D96" s="25" t="s">
        <v>371</v>
      </c>
      <c r="E96" s="25" t="s">
        <v>372</v>
      </c>
      <c r="F96" s="15" t="s">
        <v>43</v>
      </c>
      <c r="G96" s="22" t="s">
        <v>22</v>
      </c>
      <c r="H96" s="23" t="str">
        <f t="shared" si="2"/>
        <v>一致</v>
      </c>
      <c r="I96" s="25" t="s">
        <v>373</v>
      </c>
      <c r="J96" s="25"/>
    </row>
    <row r="97" spans="1:10" ht="42" customHeight="1">
      <c r="A97" s="19" t="s">
        <v>22</v>
      </c>
      <c r="B97" s="20" t="s">
        <v>374</v>
      </c>
      <c r="C97" s="21" t="s">
        <v>367</v>
      </c>
      <c r="D97" s="21" t="s">
        <v>375</v>
      </c>
      <c r="E97" s="21" t="s">
        <v>376</v>
      </c>
      <c r="F97" s="12" t="s">
        <v>43</v>
      </c>
      <c r="G97" s="22" t="s">
        <v>22</v>
      </c>
      <c r="H97" s="23" t="str">
        <f t="shared" si="2"/>
        <v>一致</v>
      </c>
      <c r="I97" s="21" t="s">
        <v>204</v>
      </c>
      <c r="J97" s="21" t="s">
        <v>377</v>
      </c>
    </row>
    <row r="98" spans="1:10" ht="42" customHeight="1">
      <c r="A98" s="19" t="s">
        <v>22</v>
      </c>
      <c r="B98" s="24" t="s">
        <v>378</v>
      </c>
      <c r="C98" s="25" t="s">
        <v>367</v>
      </c>
      <c r="D98" s="25" t="s">
        <v>379</v>
      </c>
      <c r="E98" s="25" t="s">
        <v>380</v>
      </c>
      <c r="F98" s="15" t="s">
        <v>43</v>
      </c>
      <c r="G98" s="22" t="s">
        <v>22</v>
      </c>
      <c r="H98" s="23" t="str">
        <f t="shared" si="2"/>
        <v>一致</v>
      </c>
      <c r="I98" s="25" t="s">
        <v>69</v>
      </c>
      <c r="J98" s="25"/>
    </row>
    <row r="99" spans="1:10" ht="42" customHeight="1">
      <c r="A99" s="19" t="s">
        <v>24</v>
      </c>
      <c r="B99" s="20" t="s">
        <v>381</v>
      </c>
      <c r="C99" s="21" t="s">
        <v>367</v>
      </c>
      <c r="D99" s="21" t="s">
        <v>382</v>
      </c>
      <c r="E99" s="21" t="s">
        <v>383</v>
      </c>
      <c r="F99" s="12" t="s">
        <v>63</v>
      </c>
      <c r="G99" s="22" t="s">
        <v>24</v>
      </c>
      <c r="H99" s="23" t="str">
        <f t="shared" si="2"/>
        <v>一致</v>
      </c>
      <c r="I99" s="21" t="s">
        <v>69</v>
      </c>
      <c r="J99" s="21"/>
    </row>
    <row r="100" spans="1:10" ht="42" customHeight="1">
      <c r="A100" s="19" t="s">
        <v>24</v>
      </c>
      <c r="B100" s="24" t="s">
        <v>384</v>
      </c>
      <c r="C100" s="21" t="s">
        <v>367</v>
      </c>
      <c r="D100" s="21" t="s">
        <v>385</v>
      </c>
      <c r="E100" s="21" t="s">
        <v>386</v>
      </c>
      <c r="F100" s="15" t="s">
        <v>63</v>
      </c>
      <c r="G100" s="22" t="s">
        <v>24</v>
      </c>
      <c r="H100" s="23" t="str">
        <f t="shared" si="2"/>
        <v>一致</v>
      </c>
      <c r="I100" s="25" t="s">
        <v>69</v>
      </c>
      <c r="J100" s="25"/>
    </row>
    <row r="101" spans="1:10" ht="42" customHeight="1">
      <c r="A101" s="19" t="s">
        <v>24</v>
      </c>
      <c r="B101" s="20" t="s">
        <v>387</v>
      </c>
      <c r="C101" s="21" t="s">
        <v>388</v>
      </c>
      <c r="D101" s="21" t="s">
        <v>389</v>
      </c>
      <c r="E101" s="21" t="s">
        <v>390</v>
      </c>
      <c r="F101" s="12" t="s">
        <v>63</v>
      </c>
      <c r="G101" s="22" t="s">
        <v>24</v>
      </c>
      <c r="H101" s="23" t="str">
        <f t="shared" ref="H101:H104" si="3">IF(A101="","未勾选",IF(A101=G101,"一致","已改"))</f>
        <v>一致</v>
      </c>
      <c r="I101" s="21" t="s">
        <v>83</v>
      </c>
      <c r="J101" s="21"/>
    </row>
    <row r="102" spans="1:10" ht="42" customHeight="1">
      <c r="A102" s="19" t="s">
        <v>24</v>
      </c>
      <c r="B102" s="24" t="s">
        <v>391</v>
      </c>
      <c r="C102" s="25" t="s">
        <v>388</v>
      </c>
      <c r="D102" s="25" t="s">
        <v>392</v>
      </c>
      <c r="E102" s="25" t="s">
        <v>393</v>
      </c>
      <c r="F102" s="15" t="s">
        <v>68</v>
      </c>
      <c r="G102" s="22" t="s">
        <v>23</v>
      </c>
      <c r="H102" s="23" t="str">
        <f t="shared" si="3"/>
        <v>已改</v>
      </c>
      <c r="I102" s="25" t="s">
        <v>83</v>
      </c>
      <c r="J102" s="25"/>
    </row>
    <row r="103" spans="1:10" ht="42" customHeight="1">
      <c r="A103" s="19" t="s">
        <v>24</v>
      </c>
      <c r="B103" s="20" t="s">
        <v>394</v>
      </c>
      <c r="C103" s="21" t="s">
        <v>388</v>
      </c>
      <c r="D103" s="21" t="s">
        <v>395</v>
      </c>
      <c r="E103" s="21" t="s">
        <v>396</v>
      </c>
      <c r="F103" s="12" t="s">
        <v>63</v>
      </c>
      <c r="G103" s="22" t="s">
        <v>24</v>
      </c>
      <c r="H103" s="23" t="str">
        <f t="shared" si="3"/>
        <v>一致</v>
      </c>
      <c r="I103" s="21" t="s">
        <v>83</v>
      </c>
      <c r="J103" s="21"/>
    </row>
    <row r="104" spans="1:10" ht="42" customHeight="1">
      <c r="A104" s="19" t="s">
        <v>24</v>
      </c>
      <c r="B104" s="20" t="s">
        <v>397</v>
      </c>
      <c r="C104" s="21" t="s">
        <v>388</v>
      </c>
      <c r="D104" s="21" t="s">
        <v>398</v>
      </c>
      <c r="E104" s="21" t="s">
        <v>399</v>
      </c>
      <c r="F104" s="15" t="s">
        <v>138</v>
      </c>
      <c r="G104" s="22" t="s">
        <v>24</v>
      </c>
      <c r="H104" s="23" t="str">
        <f t="shared" si="3"/>
        <v>一致</v>
      </c>
      <c r="I104" s="25" t="s">
        <v>215</v>
      </c>
      <c r="J104" s="25"/>
    </row>
  </sheetData>
  <autoFilter ref="A4:J104" xr:uid="{00000000-0009-0000-0000-000001000000}"/>
  <mergeCells count="2">
    <mergeCell ref="A1:J1"/>
    <mergeCell ref="A2:J2"/>
  </mergeCells>
  <phoneticPr fontId="15" type="noConversion"/>
  <conditionalFormatting sqref="A5:A104">
    <cfRule type="cellIs" dxfId="4" priority="1" operator="equal">
      <formula>"纳入"</formula>
    </cfRule>
    <cfRule type="cellIs" dxfId="3" priority="2" operator="equal">
      <formula>"延期"</formula>
    </cfRule>
    <cfRule type="cellIs" dxfId="2" priority="3" operator="equal">
      <formula>"不做"</formula>
    </cfRule>
  </conditionalFormatting>
  <conditionalFormatting sqref="H5:H104">
    <cfRule type="cellIs" dxfId="1" priority="4" operator="equal">
      <formula>"已改"</formula>
    </cfRule>
    <cfRule type="cellIs" dxfId="0" priority="5" operator="equal">
      <formula>"一致"</formula>
    </cfRule>
  </conditionalFormatting>
  <dataValidations count="1">
    <dataValidation type="list" allowBlank="1" showInputMessage="1" showErrorMessage="1" errorTitle="勾选无效" error="请从下拉中选择：纳入、延期、不做" promptTitle="勾选" prompt="纳入＝本期做；延期＝以后做；不做＝砍掉" sqref="A5:A104" xr:uid="{00000000-0002-0000-0100-000000000000}">
      <formula1>"纳入,延期,不做"</formula1>
    </dataValidation>
  </dataValidations>
  <pageMargins left="0.75" right="0.75" top="1" bottom="1" header="0.5" footer="0.5"/>
  <pageSetup paperSize="8" scale="70" fitToHeight="0" orientation="landscape" horizontalDpi="300"/>
  <headerFooter>
    <oddHeader>&amp;L护理推送平台功能勾选</oddHeader>
    <oddFooter>&amp;R第 &amp;P 页 / 共 &amp;N 页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  <pageSetUpPr fitToPage="1"/>
  </sheetPr>
  <dimension ref="B2:I32"/>
  <sheetViews>
    <sheetView showGridLines="0" workbookViewId="0">
      <pane xSplit="1" ySplit="3" topLeftCell="B5" activePane="bottomRight" state="frozen"/>
      <selection pane="topRight"/>
      <selection pane="bottomLeft"/>
      <selection pane="bottomRight"/>
    </sheetView>
  </sheetViews>
  <sheetFormatPr defaultColWidth="9" defaultRowHeight="13.5"/>
  <cols>
    <col min="1" max="1" width="3" customWidth="1"/>
    <col min="2" max="2" width="42" customWidth="1"/>
    <col min="3" max="6" width="12" customWidth="1"/>
    <col min="7" max="7" width="3" customWidth="1"/>
    <col min="8" max="8" width="16" customWidth="1"/>
    <col min="9" max="9" width="18" customWidth="1"/>
  </cols>
  <sheetData>
    <row r="2" spans="2:9" ht="32" customHeight="1">
      <c r="B2" s="39" t="s">
        <v>400</v>
      </c>
      <c r="C2" s="34"/>
      <c r="D2" s="34"/>
      <c r="E2" s="34"/>
      <c r="F2" s="34"/>
    </row>
    <row r="4" spans="2:9" ht="15.75">
      <c r="B4" s="1" t="s">
        <v>22</v>
      </c>
      <c r="C4" s="1" t="s">
        <v>23</v>
      </c>
      <c r="D4" s="1" t="s">
        <v>24</v>
      </c>
      <c r="E4" s="1" t="s">
        <v>401</v>
      </c>
      <c r="F4" s="1" t="s">
        <v>402</v>
      </c>
    </row>
    <row r="5" spans="2:9" ht="36" customHeight="1">
      <c r="B5" s="2">
        <f>COUNTIF(功能勾选!$A$5:$A$104,"纳入")</f>
        <v>59</v>
      </c>
      <c r="C5" s="3">
        <f>COUNTIF(功能勾选!$A$5:$A$104,"延期")</f>
        <v>3</v>
      </c>
      <c r="D5" s="4">
        <f>COUNTIF(功能勾选!$A$5:$A$104,"不做")</f>
        <v>38</v>
      </c>
      <c r="E5" s="5">
        <f>COUNTBLANK(功能勾选!$A$5:$A$104)</f>
        <v>0</v>
      </c>
      <c r="F5" s="6">
        <f>COUNTA(功能勾选!$B$5:$B$104)</f>
        <v>100</v>
      </c>
    </row>
    <row r="6" spans="2:9" ht="15.75">
      <c r="B6" s="1" t="s">
        <v>403</v>
      </c>
      <c r="C6" s="1" t="s">
        <v>404</v>
      </c>
      <c r="D6" s="1" t="s">
        <v>405</v>
      </c>
    </row>
    <row r="7" spans="2:9" ht="20.25">
      <c r="B7" s="7">
        <f>COUNTIF(功能勾选!$H$5:$H$104,"已改")</f>
        <v>37</v>
      </c>
      <c r="C7" s="8">
        <f>COUNTIF(功能勾选!$H$5:$H$104,"一致")</f>
        <v>63</v>
      </c>
      <c r="D7" s="9">
        <f>IF(F5=0,"-",B5/F5)</f>
        <v>0.59</v>
      </c>
    </row>
    <row r="9" spans="2:9" ht="20.25">
      <c r="B9" s="10" t="s">
        <v>406</v>
      </c>
      <c r="H9" s="10" t="s">
        <v>407</v>
      </c>
    </row>
    <row r="10" spans="2:9" ht="15.75">
      <c r="B10" s="1" t="s">
        <v>31</v>
      </c>
      <c r="C10" s="1" t="s">
        <v>22</v>
      </c>
      <c r="D10" s="1" t="s">
        <v>23</v>
      </c>
      <c r="E10" s="1" t="s">
        <v>24</v>
      </c>
      <c r="F10" s="1" t="s">
        <v>408</v>
      </c>
      <c r="H10" s="1" t="s">
        <v>409</v>
      </c>
      <c r="I10" s="1" t="s">
        <v>410</v>
      </c>
    </row>
    <row r="11" spans="2:9" ht="14.65">
      <c r="B11" s="11" t="s">
        <v>40</v>
      </c>
      <c r="C11" s="12">
        <f>COUNTIFS(功能勾选!$C$5:$C$104,B11,功能勾选!$A$5:$A$104,"纳入")</f>
        <v>4</v>
      </c>
      <c r="D11" s="12">
        <f>COUNTIFS(功能勾选!$C$5:$C$104,B11,功能勾选!$A$5:$A$104,"延期")</f>
        <v>0</v>
      </c>
      <c r="E11" s="12">
        <f>COUNTIFS(功能勾选!$C$5:$C$104,B11,功能勾选!$A$5:$A$104,"不做")</f>
        <v>2</v>
      </c>
      <c r="F11" s="12">
        <f t="shared" ref="F11:F27" si="0">SUM(C11:E11)</f>
        <v>6</v>
      </c>
      <c r="H11" s="13" t="s">
        <v>43</v>
      </c>
      <c r="I11" s="12">
        <f>COUNTIFS(功能勾选!$F$5:$F$104,"*"&amp;H11&amp;"*",功能勾选!$A$5:$A$104,"纳入")</f>
        <v>37</v>
      </c>
    </row>
    <row r="12" spans="2:9" ht="14.65">
      <c r="B12" s="14" t="s">
        <v>72</v>
      </c>
      <c r="C12" s="15">
        <f>COUNTIFS(功能勾选!$C$5:$C$104,B12,功能勾选!$A$5:$A$104,"纳入")</f>
        <v>7</v>
      </c>
      <c r="D12" s="15">
        <f>COUNTIFS(功能勾选!$C$5:$C$104,B12,功能勾选!$A$5:$A$104,"延期")</f>
        <v>3</v>
      </c>
      <c r="E12" s="15">
        <f>COUNTIFS(功能勾选!$C$5:$C$104,B12,功能勾选!$A$5:$A$104,"不做")</f>
        <v>1</v>
      </c>
      <c r="F12" s="15">
        <f t="shared" si="0"/>
        <v>11</v>
      </c>
      <c r="H12" s="13" t="s">
        <v>68</v>
      </c>
      <c r="I12" s="12">
        <f>COUNTIFS(功能勾选!$F$5:$F$104,"*"&amp;H12&amp;"*",功能勾选!$A$5:$A$104,"纳入")</f>
        <v>18</v>
      </c>
    </row>
    <row r="13" spans="2:9" ht="14.65">
      <c r="B13" s="11" t="s">
        <v>113</v>
      </c>
      <c r="C13" s="12">
        <f>COUNTIFS(功能勾选!$C$5:$C$104,B13,功能勾选!$A$5:$A$104,"纳入")</f>
        <v>6</v>
      </c>
      <c r="D13" s="12">
        <f>COUNTIFS(功能勾选!$C$5:$C$104,B13,功能勾选!$A$5:$A$104,"延期")</f>
        <v>0</v>
      </c>
      <c r="E13" s="12">
        <f>COUNTIFS(功能勾选!$C$5:$C$104,B13,功能勾选!$A$5:$A$104,"不做")</f>
        <v>3</v>
      </c>
      <c r="F13" s="12">
        <f t="shared" si="0"/>
        <v>9</v>
      </c>
      <c r="H13" s="13" t="s">
        <v>211</v>
      </c>
      <c r="I13" s="12">
        <f>COUNTIFS(功能勾选!$F$5:$F$104,"*"&amp;H13&amp;"*",功能勾选!$A$5:$A$104,"纳入")</f>
        <v>4</v>
      </c>
    </row>
    <row r="14" spans="2:9" ht="14.65">
      <c r="B14" s="14" t="s">
        <v>147</v>
      </c>
      <c r="C14" s="15">
        <f>COUNTIFS(功能勾选!$C$5:$C$104,B14,功能勾选!$A$5:$A$104,"纳入")</f>
        <v>6</v>
      </c>
      <c r="D14" s="15">
        <f>COUNTIFS(功能勾选!$C$5:$C$104,B14,功能勾选!$A$5:$A$104,"延期")</f>
        <v>0</v>
      </c>
      <c r="E14" s="15">
        <f>COUNTIFS(功能勾选!$C$5:$C$104,B14,功能勾选!$A$5:$A$104,"不做")</f>
        <v>0</v>
      </c>
      <c r="F14" s="15">
        <f t="shared" si="0"/>
        <v>6</v>
      </c>
      <c r="H14" s="13" t="s">
        <v>290</v>
      </c>
      <c r="I14" s="12">
        <f>COUNTIFS(功能勾选!$F$5:$F$104,"*"&amp;H14&amp;"*",功能勾选!$A$5:$A$104,"纳入")</f>
        <v>0</v>
      </c>
    </row>
    <row r="15" spans="2:9" ht="14.65">
      <c r="B15" s="11" t="s">
        <v>167</v>
      </c>
      <c r="C15" s="12">
        <f>COUNTIFS(功能勾选!$C$5:$C$104,B15,功能勾选!$A$5:$A$104,"纳入")</f>
        <v>6</v>
      </c>
      <c r="D15" s="12">
        <f>COUNTIFS(功能勾选!$C$5:$C$104,B15,功能勾选!$A$5:$A$104,"延期")</f>
        <v>0</v>
      </c>
      <c r="E15" s="12">
        <f>COUNTIFS(功能勾选!$C$5:$C$104,B15,功能勾选!$A$5:$A$104,"不做")</f>
        <v>0</v>
      </c>
      <c r="F15" s="12">
        <f t="shared" si="0"/>
        <v>6</v>
      </c>
      <c r="H15" s="13" t="s">
        <v>63</v>
      </c>
      <c r="I15" s="12">
        <f>COUNTIFS(功能勾选!$F$5:$F$104,"*"&amp;H15&amp;"*",功能勾选!$A$5:$A$104,"纳入")</f>
        <v>2</v>
      </c>
    </row>
    <row r="16" spans="2:9" ht="14.65">
      <c r="B16" s="14" t="s">
        <v>187</v>
      </c>
      <c r="C16" s="15">
        <f>COUNTIFS(功能勾选!$C$5:$C$104,B16,功能勾选!$A$5:$A$104,"纳入")</f>
        <v>3</v>
      </c>
      <c r="D16" s="15">
        <f>COUNTIFS(功能勾选!$C$5:$C$104,B16,功能勾选!$A$5:$A$104,"延期")</f>
        <v>0</v>
      </c>
      <c r="E16" s="15">
        <f>COUNTIFS(功能勾选!$C$5:$C$104,B16,功能勾选!$A$5:$A$104,"不做")</f>
        <v>2</v>
      </c>
      <c r="F16" s="15">
        <f t="shared" si="0"/>
        <v>5</v>
      </c>
      <c r="H16" s="13" t="s">
        <v>138</v>
      </c>
      <c r="I16" s="12">
        <f>COUNTIFS(功能勾选!$F$5:$F$104,"*"&amp;H16&amp;"*",功能勾选!$A$5:$A$104,"纳入")</f>
        <v>0</v>
      </c>
    </row>
    <row r="17" spans="2:9" ht="13.9">
      <c r="B17" s="11" t="s">
        <v>201</v>
      </c>
      <c r="C17" s="12">
        <f>COUNTIFS(功能勾选!$C$5:$C$104,B17,功能勾选!$A$5:$A$104,"纳入")</f>
        <v>4</v>
      </c>
      <c r="D17" s="12">
        <f>COUNTIFS(功能勾选!$C$5:$C$104,B17,功能勾选!$A$5:$A$104,"延期")</f>
        <v>0</v>
      </c>
      <c r="E17" s="12">
        <f>COUNTIFS(功能勾选!$C$5:$C$104,B17,功能勾选!$A$5:$A$104,"不做")</f>
        <v>4</v>
      </c>
      <c r="F17" s="12">
        <f t="shared" si="0"/>
        <v>8</v>
      </c>
    </row>
    <row r="18" spans="2:9" ht="13.9">
      <c r="B18" s="14" t="s">
        <v>229</v>
      </c>
      <c r="C18" s="15">
        <f>COUNTIFS(功能勾选!$C$5:$C$104,B18,功能勾选!$A$5:$A$104,"纳入")</f>
        <v>3</v>
      </c>
      <c r="D18" s="15">
        <f>COUNTIFS(功能勾选!$C$5:$C$104,B18,功能勾选!$A$5:$A$104,"延期")</f>
        <v>0</v>
      </c>
      <c r="E18" s="15">
        <f>COUNTIFS(功能勾选!$C$5:$C$104,B18,功能勾选!$A$5:$A$104,"不做")</f>
        <v>4</v>
      </c>
      <c r="F18" s="15">
        <f t="shared" si="0"/>
        <v>7</v>
      </c>
      <c r="H18" s="40" t="s">
        <v>411</v>
      </c>
      <c r="I18" s="34"/>
    </row>
    <row r="19" spans="2:9" ht="13.9">
      <c r="B19" s="11" t="s">
        <v>253</v>
      </c>
      <c r="C19" s="12">
        <f>COUNTIFS(功能勾选!$C$5:$C$104,B19,功能勾选!$A$5:$A$104,"纳入")</f>
        <v>5</v>
      </c>
      <c r="D19" s="12">
        <f>COUNTIFS(功能勾选!$C$5:$C$104,B19,功能勾选!$A$5:$A$104,"延期")</f>
        <v>0</v>
      </c>
      <c r="E19" s="12">
        <f>COUNTIFS(功能勾选!$C$5:$C$104,B19,功能勾选!$A$5:$A$104,"不做")</f>
        <v>2</v>
      </c>
      <c r="F19" s="12">
        <f t="shared" si="0"/>
        <v>7</v>
      </c>
      <c r="H19" s="34"/>
      <c r="I19" s="34"/>
    </row>
    <row r="20" spans="2:9" ht="13.9">
      <c r="B20" s="14" t="s">
        <v>277</v>
      </c>
      <c r="C20" s="15">
        <f>COUNTIFS(功能勾选!$C$5:$C$104,B20,功能勾选!$A$5:$A$104,"纳入")</f>
        <v>0</v>
      </c>
      <c r="D20" s="15">
        <f>COUNTIFS(功能勾选!$C$5:$C$104,B20,功能勾选!$A$5:$A$104,"延期")</f>
        <v>0</v>
      </c>
      <c r="E20" s="15">
        <f>COUNTIFS(功能勾选!$C$5:$C$104,B20,功能勾选!$A$5:$A$104,"不做")</f>
        <v>6</v>
      </c>
      <c r="F20" s="15">
        <f t="shared" si="0"/>
        <v>6</v>
      </c>
      <c r="H20" s="34"/>
      <c r="I20" s="34"/>
    </row>
    <row r="21" spans="2:9" ht="13.9">
      <c r="B21" s="11" t="s">
        <v>299</v>
      </c>
      <c r="C21" s="12">
        <f>COUNTIFS(功能勾选!$C$5:$C$104,B21,功能勾选!$A$5:$A$104,"纳入")</f>
        <v>3</v>
      </c>
      <c r="D21" s="12">
        <f>COUNTIFS(功能勾选!$C$5:$C$104,B21,功能勾选!$A$5:$A$104,"延期")</f>
        <v>0</v>
      </c>
      <c r="E21" s="12">
        <f>COUNTIFS(功能勾选!$C$5:$C$104,B21,功能勾选!$A$5:$A$104,"不做")</f>
        <v>2</v>
      </c>
      <c r="F21" s="12">
        <f t="shared" si="0"/>
        <v>5</v>
      </c>
      <c r="H21" s="34"/>
      <c r="I21" s="34"/>
    </row>
    <row r="22" spans="2:9" ht="13.9">
      <c r="B22" s="14" t="s">
        <v>315</v>
      </c>
      <c r="C22" s="15">
        <f>COUNTIFS(功能勾选!$C$5:$C$104,B22,功能勾选!$A$5:$A$104,"纳入")</f>
        <v>5</v>
      </c>
      <c r="D22" s="15">
        <f>COUNTIFS(功能勾选!$C$5:$C$104,B22,功能勾选!$A$5:$A$104,"延期")</f>
        <v>0</v>
      </c>
      <c r="E22" s="15">
        <f>COUNTIFS(功能勾选!$C$5:$C$104,B22,功能勾选!$A$5:$A$104,"不做")</f>
        <v>1</v>
      </c>
      <c r="F22" s="15">
        <f t="shared" si="0"/>
        <v>6</v>
      </c>
    </row>
    <row r="23" spans="2:9" ht="13.9">
      <c r="B23" s="11" t="s">
        <v>335</v>
      </c>
      <c r="C23" s="12">
        <f>COUNTIFS(功能勾选!$C$5:$C$104,B23,功能勾选!$A$5:$A$104,"纳入")</f>
        <v>2</v>
      </c>
      <c r="D23" s="12">
        <f>COUNTIFS(功能勾选!$C$5:$C$104,B23,功能勾选!$A$5:$A$104,"延期")</f>
        <v>0</v>
      </c>
      <c r="E23" s="12">
        <f>COUNTIFS(功能勾选!$C$5:$C$104,B23,功能勾选!$A$5:$A$104,"不做")</f>
        <v>1</v>
      </c>
      <c r="F23" s="12">
        <f t="shared" si="0"/>
        <v>3</v>
      </c>
    </row>
    <row r="24" spans="2:9" ht="13.9">
      <c r="B24" s="14" t="s">
        <v>346</v>
      </c>
      <c r="C24" s="15">
        <f>COUNTIFS(功能勾选!$C$5:$C$104,B24,功能勾选!$A$5:$A$104,"纳入")</f>
        <v>0</v>
      </c>
      <c r="D24" s="15">
        <f>COUNTIFS(功能勾选!$C$5:$C$104,B24,功能勾选!$A$5:$A$104,"延期")</f>
        <v>0</v>
      </c>
      <c r="E24" s="15">
        <f>COUNTIFS(功能勾选!$C$5:$C$104,B24,功能勾选!$A$5:$A$104,"不做")</f>
        <v>3</v>
      </c>
      <c r="F24" s="15">
        <f t="shared" si="0"/>
        <v>3</v>
      </c>
    </row>
    <row r="25" spans="2:9" ht="13.9">
      <c r="B25" s="11" t="s">
        <v>358</v>
      </c>
      <c r="C25" s="12">
        <f>COUNTIFS(功能勾选!$C$5:$C$104,B25,功能勾选!$A$5:$A$104,"纳入")</f>
        <v>1</v>
      </c>
      <c r="D25" s="12">
        <f>COUNTIFS(功能勾选!$C$5:$C$104,B25,功能勾选!$A$5:$A$104,"延期")</f>
        <v>0</v>
      </c>
      <c r="E25" s="12">
        <f>COUNTIFS(功能勾选!$C$5:$C$104,B25,功能勾选!$A$5:$A$104,"不做")</f>
        <v>1</v>
      </c>
      <c r="F25" s="12">
        <f t="shared" si="0"/>
        <v>2</v>
      </c>
    </row>
    <row r="26" spans="2:9" ht="13.9">
      <c r="B26" s="14" t="s">
        <v>367</v>
      </c>
      <c r="C26" s="15">
        <f>COUNTIFS(功能勾选!$C$5:$C$104,B26,功能勾选!$A$5:$A$104,"纳入")</f>
        <v>4</v>
      </c>
      <c r="D26" s="15">
        <f>COUNTIFS(功能勾选!$C$5:$C$104,B26,功能勾选!$A$5:$A$104,"延期")</f>
        <v>0</v>
      </c>
      <c r="E26" s="15">
        <f>COUNTIFS(功能勾选!$C$5:$C$104,B26,功能勾选!$A$5:$A$104,"不做")</f>
        <v>2</v>
      </c>
      <c r="F26" s="15">
        <f t="shared" si="0"/>
        <v>6</v>
      </c>
    </row>
    <row r="27" spans="2:9" ht="13.9">
      <c r="B27" s="11" t="s">
        <v>388</v>
      </c>
      <c r="C27" s="12">
        <f>COUNTIFS(功能勾选!$C$5:$C$104,B27,功能勾选!$A$5:$A$104,"纳入")</f>
        <v>0</v>
      </c>
      <c r="D27" s="12">
        <f>COUNTIFS(功能勾选!$C$5:$C$104,B27,功能勾选!$A$5:$A$104,"延期")</f>
        <v>0</v>
      </c>
      <c r="E27" s="12">
        <f>COUNTIFS(功能勾选!$C$5:$C$104,B27,功能勾选!$A$5:$A$104,"不做")</f>
        <v>4</v>
      </c>
      <c r="F27" s="12">
        <f t="shared" si="0"/>
        <v>4</v>
      </c>
    </row>
    <row r="28" spans="2:9" ht="14.65">
      <c r="B28" s="16" t="s">
        <v>412</v>
      </c>
      <c r="C28" s="17">
        <f>SUM(C11:C27)</f>
        <v>59</v>
      </c>
      <c r="D28" s="17">
        <f>SUM(D11:D27)</f>
        <v>3</v>
      </c>
      <c r="E28" s="17">
        <f>SUM(E11:E27)</f>
        <v>38</v>
      </c>
      <c r="F28" s="17">
        <f>SUM(F11:F27)</f>
        <v>100</v>
      </c>
    </row>
    <row r="30" spans="2:9" ht="20.25">
      <c r="B30" s="10" t="s">
        <v>413</v>
      </c>
    </row>
    <row r="31" spans="2:9" ht="15.75">
      <c r="B31" t="s">
        <v>414</v>
      </c>
      <c r="C31" s="18" t="str">
        <f>IF(F28=F5,"通过","不通过")</f>
        <v>通过</v>
      </c>
    </row>
    <row r="32" spans="2:9" ht="15.75">
      <c r="B32" t="s">
        <v>415</v>
      </c>
      <c r="C32" s="18" t="str">
        <f>IF(B5+C5+D5+E5=F5,"通过","不通过")</f>
        <v>通过</v>
      </c>
    </row>
  </sheetData>
  <mergeCells count="2">
    <mergeCell ref="B2:F2"/>
    <mergeCell ref="H18:I21"/>
  </mergeCells>
  <phoneticPr fontId="16" type="noConversion"/>
  <pageMargins left="0.75" right="0.75" top="1" bottom="1" header="0.5" footer="0.5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使用说明</vt:lpstr>
      <vt:lpstr>功能勾选</vt:lpstr>
      <vt:lpstr>勾选汇总</vt:lpstr>
      <vt:lpstr>功能勾选!Print_Area</vt:lpstr>
      <vt:lpstr>勾选汇总!Print_Area</vt:lpstr>
      <vt:lpstr>使用说明!Print_Area</vt:lpstr>
      <vt:lpstr>功能勾选!Print_Titles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护理推送平台功能勾选表</dc:title>
  <dc:creator>护理推送助手</dc:creator>
  <dc:description>供勾选本期 SaaS / 延期 / 不做的功能目录</dc:description>
  <cp:lastModifiedBy>Penghao Liu</cp:lastModifiedBy>
  <dcterms:created xsi:type="dcterms:W3CDTF">2026-09-20T02:12:00Z</dcterms:created>
  <dcterms:modified xsi:type="dcterms:W3CDTF">2026-09-20T22:20:59Z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7919F65ACC954D56A98A206DF7FE4CDF_13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